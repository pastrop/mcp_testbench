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0.0.14.12\Profiles\user16\Downloads\Finalyst  Sends\"/>
    </mc:Choice>
  </mc:AlternateContent>
  <xr:revisionPtr revIDLastSave="0" documentId="13_ncr:1_{AAB1A426-44FC-4BB0-B2CF-DED136F6C47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UR (S)" sheetId="1" r:id="rId1"/>
    <sheet name="Blik" sheetId="2" r:id="rId2"/>
    <sheet name="Settl" sheetId="3" r:id="rId3"/>
    <sheet name="RR" sheetId="4" r:id="rId4"/>
    <sheet name="конвертация" sheetId="5" r:id="rId5"/>
    <sheet name="Day 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1" i="1" l="1"/>
  <c r="L91" i="1"/>
  <c r="M91" i="1" s="1"/>
  <c r="K92" i="1"/>
  <c r="L92" i="1"/>
  <c r="M92" i="1" s="1"/>
  <c r="K93" i="1"/>
  <c r="L93" i="1"/>
  <c r="M93" i="1" s="1"/>
  <c r="K94" i="1"/>
  <c r="L94" i="1"/>
  <c r="M94" i="1" s="1"/>
  <c r="K95" i="1"/>
  <c r="L95" i="1"/>
  <c r="M95" i="1" s="1"/>
  <c r="K96" i="1"/>
  <c r="L96" i="1"/>
  <c r="J42" i="6"/>
  <c r="I42" i="6"/>
  <c r="H42" i="6"/>
  <c r="G42" i="6"/>
  <c r="F42" i="6"/>
  <c r="E42" i="6"/>
  <c r="D42" i="6"/>
  <c r="C42" i="6"/>
  <c r="B42" i="6"/>
  <c r="A42" i="6"/>
  <c r="J41" i="6"/>
  <c r="I41" i="6"/>
  <c r="H41" i="6"/>
  <c r="G41" i="6"/>
  <c r="F41" i="6"/>
  <c r="E41" i="6"/>
  <c r="D41" i="6"/>
  <c r="C41" i="6"/>
  <c r="B41" i="6"/>
  <c r="A41" i="6"/>
  <c r="J40" i="6"/>
  <c r="I40" i="6"/>
  <c r="H40" i="6"/>
  <c r="G40" i="6"/>
  <c r="F40" i="6"/>
  <c r="E40" i="6"/>
  <c r="D40" i="6"/>
  <c r="C40" i="6"/>
  <c r="B40" i="6"/>
  <c r="A40" i="6"/>
  <c r="J39" i="6"/>
  <c r="I39" i="6"/>
  <c r="H39" i="6"/>
  <c r="G39" i="6"/>
  <c r="F39" i="6"/>
  <c r="E39" i="6"/>
  <c r="D39" i="6"/>
  <c r="C39" i="6"/>
  <c r="B39" i="6"/>
  <c r="A39" i="6"/>
  <c r="J38" i="6"/>
  <c r="I38" i="6"/>
  <c r="H38" i="6"/>
  <c r="G38" i="6"/>
  <c r="F38" i="6"/>
  <c r="E38" i="6"/>
  <c r="D38" i="6"/>
  <c r="C38" i="6"/>
  <c r="B38" i="6"/>
  <c r="A38" i="6"/>
  <c r="J37" i="6"/>
  <c r="I37" i="6"/>
  <c r="H37" i="6"/>
  <c r="G37" i="6"/>
  <c r="F37" i="6"/>
  <c r="E37" i="6"/>
  <c r="D37" i="6"/>
  <c r="C37" i="6"/>
  <c r="B37" i="6"/>
  <c r="A37" i="6"/>
  <c r="J36" i="6"/>
  <c r="I36" i="6"/>
  <c r="H36" i="6"/>
  <c r="G36" i="6"/>
  <c r="F36" i="6"/>
  <c r="E36" i="6"/>
  <c r="D36" i="6"/>
  <c r="C36" i="6"/>
  <c r="B36" i="6"/>
  <c r="A36" i="6"/>
  <c r="J35" i="6"/>
  <c r="I35" i="6"/>
  <c r="H35" i="6"/>
  <c r="G35" i="6"/>
  <c r="F35" i="6"/>
  <c r="E35" i="6"/>
  <c r="D35" i="6"/>
  <c r="C35" i="6"/>
  <c r="B35" i="6"/>
  <c r="A35" i="6"/>
  <c r="J34" i="6"/>
  <c r="I34" i="6"/>
  <c r="H34" i="6"/>
  <c r="G34" i="6"/>
  <c r="F34" i="6"/>
  <c r="E34" i="6"/>
  <c r="D34" i="6"/>
  <c r="C34" i="6"/>
  <c r="B34" i="6"/>
  <c r="A34" i="6"/>
  <c r="J33" i="6"/>
  <c r="I33" i="6"/>
  <c r="H33" i="6"/>
  <c r="G33" i="6"/>
  <c r="F33" i="6"/>
  <c r="E33" i="6"/>
  <c r="D33" i="6"/>
  <c r="C33" i="6"/>
  <c r="B33" i="6"/>
  <c r="A33" i="6"/>
  <c r="J32" i="6"/>
  <c r="I32" i="6"/>
  <c r="H32" i="6"/>
  <c r="G32" i="6"/>
  <c r="F32" i="6"/>
  <c r="E32" i="6"/>
  <c r="D32" i="6"/>
  <c r="C32" i="6"/>
  <c r="B32" i="6"/>
  <c r="A32" i="6"/>
  <c r="J31" i="6"/>
  <c r="I31" i="6"/>
  <c r="H31" i="6"/>
  <c r="G31" i="6"/>
  <c r="F31" i="6"/>
  <c r="E31" i="6"/>
  <c r="D31" i="6"/>
  <c r="C31" i="6"/>
  <c r="B31" i="6"/>
  <c r="A31" i="6"/>
  <c r="J30" i="6"/>
  <c r="I30" i="6"/>
  <c r="H30" i="6"/>
  <c r="G30" i="6"/>
  <c r="F30" i="6"/>
  <c r="E30" i="6"/>
  <c r="D30" i="6"/>
  <c r="C30" i="6"/>
  <c r="B30" i="6"/>
  <c r="A30" i="6"/>
  <c r="J29" i="6"/>
  <c r="I29" i="6"/>
  <c r="H29" i="6"/>
  <c r="G29" i="6"/>
  <c r="F29" i="6"/>
  <c r="E29" i="6"/>
  <c r="D29" i="6"/>
  <c r="C29" i="6"/>
  <c r="B29" i="6"/>
  <c r="A29" i="6"/>
  <c r="J28" i="6"/>
  <c r="I28" i="6"/>
  <c r="H28" i="6"/>
  <c r="G28" i="6"/>
  <c r="F28" i="6"/>
  <c r="E28" i="6"/>
  <c r="D28" i="6"/>
  <c r="C28" i="6"/>
  <c r="B28" i="6"/>
  <c r="A28" i="6"/>
  <c r="J27" i="6"/>
  <c r="I27" i="6"/>
  <c r="H27" i="6"/>
  <c r="G27" i="6"/>
  <c r="F27" i="6"/>
  <c r="E27" i="6"/>
  <c r="D27" i="6"/>
  <c r="C27" i="6"/>
  <c r="B27" i="6"/>
  <c r="A27" i="6"/>
  <c r="J26" i="6"/>
  <c r="I26" i="6"/>
  <c r="H26" i="6"/>
  <c r="G26" i="6"/>
  <c r="F26" i="6"/>
  <c r="E26" i="6"/>
  <c r="D26" i="6"/>
  <c r="C26" i="6"/>
  <c r="B26" i="6"/>
  <c r="A26" i="6"/>
  <c r="J25" i="6"/>
  <c r="I25" i="6"/>
  <c r="H25" i="6"/>
  <c r="G25" i="6"/>
  <c r="F25" i="6"/>
  <c r="E25" i="6"/>
  <c r="D25" i="6"/>
  <c r="C25" i="6"/>
  <c r="B25" i="6"/>
  <c r="A25" i="6"/>
  <c r="J24" i="6"/>
  <c r="I24" i="6"/>
  <c r="H24" i="6"/>
  <c r="G24" i="6"/>
  <c r="F24" i="6"/>
  <c r="E24" i="6"/>
  <c r="D24" i="6"/>
  <c r="C24" i="6"/>
  <c r="B24" i="6"/>
  <c r="A24" i="6"/>
  <c r="J23" i="6"/>
  <c r="I23" i="6"/>
  <c r="H23" i="6"/>
  <c r="G23" i="6"/>
  <c r="F23" i="6"/>
  <c r="E23" i="6"/>
  <c r="D23" i="6"/>
  <c r="C23" i="6"/>
  <c r="B23" i="6"/>
  <c r="A23" i="6"/>
  <c r="J22" i="6"/>
  <c r="I22" i="6"/>
  <c r="H22" i="6"/>
  <c r="G22" i="6"/>
  <c r="F22" i="6"/>
  <c r="E22" i="6"/>
  <c r="D22" i="6"/>
  <c r="C22" i="6"/>
  <c r="B22" i="6"/>
  <c r="A22" i="6"/>
  <c r="J21" i="6"/>
  <c r="I21" i="6"/>
  <c r="H21" i="6"/>
  <c r="G21" i="6"/>
  <c r="F21" i="6"/>
  <c r="E21" i="6"/>
  <c r="D21" i="6"/>
  <c r="C21" i="6"/>
  <c r="B21" i="6"/>
  <c r="A21" i="6"/>
  <c r="J20" i="6"/>
  <c r="I20" i="6"/>
  <c r="H20" i="6"/>
  <c r="G20" i="6"/>
  <c r="F20" i="6"/>
  <c r="E20" i="6"/>
  <c r="D20" i="6"/>
  <c r="C20" i="6"/>
  <c r="B20" i="6"/>
  <c r="A20" i="6"/>
  <c r="J19" i="6"/>
  <c r="I19" i="6"/>
  <c r="H19" i="6"/>
  <c r="G19" i="6"/>
  <c r="F19" i="6"/>
  <c r="E19" i="6"/>
  <c r="D19" i="6"/>
  <c r="C19" i="6"/>
  <c r="B19" i="6"/>
  <c r="A19" i="6"/>
  <c r="J18" i="6"/>
  <c r="I18" i="6"/>
  <c r="H18" i="6"/>
  <c r="G18" i="6"/>
  <c r="F18" i="6"/>
  <c r="E18" i="6"/>
  <c r="D18" i="6"/>
  <c r="C18" i="6"/>
  <c r="B18" i="6"/>
  <c r="A18" i="6"/>
  <c r="J17" i="6"/>
  <c r="I17" i="6"/>
  <c r="H17" i="6"/>
  <c r="G17" i="6"/>
  <c r="F17" i="6"/>
  <c r="E17" i="6"/>
  <c r="D17" i="6"/>
  <c r="C17" i="6"/>
  <c r="B17" i="6"/>
  <c r="A17" i="6"/>
  <c r="J16" i="6"/>
  <c r="I16" i="6"/>
  <c r="H16" i="6"/>
  <c r="G16" i="6"/>
  <c r="F16" i="6"/>
  <c r="E16" i="6"/>
  <c r="D16" i="6"/>
  <c r="C16" i="6"/>
  <c r="B16" i="6"/>
  <c r="A16" i="6"/>
  <c r="J15" i="6"/>
  <c r="I15" i="6"/>
  <c r="H15" i="6"/>
  <c r="G15" i="6"/>
  <c r="F15" i="6"/>
  <c r="E15" i="6"/>
  <c r="D15" i="6"/>
  <c r="C15" i="6"/>
  <c r="B15" i="6"/>
  <c r="A15" i="6"/>
  <c r="J14" i="6"/>
  <c r="I14" i="6"/>
  <c r="H14" i="6"/>
  <c r="G14" i="6"/>
  <c r="F14" i="6"/>
  <c r="E14" i="6"/>
  <c r="D14" i="6"/>
  <c r="C14" i="6"/>
  <c r="B14" i="6"/>
  <c r="A14" i="6"/>
  <c r="J13" i="6"/>
  <c r="I13" i="6"/>
  <c r="H13" i="6"/>
  <c r="G13" i="6"/>
  <c r="F13" i="6"/>
  <c r="E13" i="6"/>
  <c r="D13" i="6"/>
  <c r="C13" i="6"/>
  <c r="B13" i="6"/>
  <c r="A13" i="6"/>
  <c r="J12" i="6"/>
  <c r="I12" i="6"/>
  <c r="H12" i="6"/>
  <c r="G12" i="6"/>
  <c r="F12" i="6"/>
  <c r="E12" i="6"/>
  <c r="D12" i="6"/>
  <c r="C12" i="6"/>
  <c r="B12" i="6"/>
  <c r="A12" i="6"/>
  <c r="J11" i="6"/>
  <c r="I11" i="6"/>
  <c r="H11" i="6"/>
  <c r="G11" i="6"/>
  <c r="F11" i="6"/>
  <c r="E11" i="6"/>
  <c r="D11" i="6"/>
  <c r="C11" i="6"/>
  <c r="B11" i="6"/>
  <c r="A11" i="6"/>
  <c r="J10" i="6"/>
  <c r="I10" i="6"/>
  <c r="H10" i="6"/>
  <c r="G10" i="6"/>
  <c r="F10" i="6"/>
  <c r="E10" i="6"/>
  <c r="D10" i="6"/>
  <c r="C10" i="6"/>
  <c r="B10" i="6"/>
  <c r="A10" i="6"/>
  <c r="J9" i="6"/>
  <c r="I9" i="6"/>
  <c r="H9" i="6"/>
  <c r="G9" i="6"/>
  <c r="F9" i="6"/>
  <c r="E9" i="6"/>
  <c r="D9" i="6"/>
  <c r="C9" i="6"/>
  <c r="B9" i="6"/>
  <c r="A9" i="6"/>
  <c r="J8" i="6"/>
  <c r="I8" i="6"/>
  <c r="H8" i="6"/>
  <c r="G8" i="6"/>
  <c r="F8" i="6"/>
  <c r="E8" i="6"/>
  <c r="D8" i="6"/>
  <c r="C8" i="6"/>
  <c r="B8" i="6"/>
  <c r="A8" i="6"/>
  <c r="J7" i="6"/>
  <c r="I7" i="6"/>
  <c r="H7" i="6"/>
  <c r="G7" i="6"/>
  <c r="F7" i="6"/>
  <c r="E7" i="6"/>
  <c r="D7" i="6"/>
  <c r="C7" i="6"/>
  <c r="B7" i="6"/>
  <c r="A7" i="6"/>
  <c r="J6" i="6"/>
  <c r="I6" i="6"/>
  <c r="H6" i="6"/>
  <c r="G6" i="6"/>
  <c r="F6" i="6"/>
  <c r="E6" i="6"/>
  <c r="D6" i="6"/>
  <c r="C6" i="6"/>
  <c r="B6" i="6"/>
  <c r="A6" i="6"/>
  <c r="J5" i="6"/>
  <c r="I5" i="6"/>
  <c r="H5" i="6"/>
  <c r="G5" i="6"/>
  <c r="F5" i="6"/>
  <c r="E5" i="6"/>
  <c r="D5" i="6"/>
  <c r="C5" i="6"/>
  <c r="B5" i="6"/>
  <c r="A5" i="6"/>
  <c r="J4" i="6"/>
  <c r="I4" i="6"/>
  <c r="H4" i="6"/>
  <c r="G4" i="6"/>
  <c r="F4" i="6"/>
  <c r="E4" i="6"/>
  <c r="D4" i="6"/>
  <c r="C4" i="6"/>
  <c r="B4" i="6"/>
  <c r="A4" i="6"/>
  <c r="J3" i="6"/>
  <c r="I3" i="6"/>
  <c r="H3" i="6"/>
  <c r="G3" i="6"/>
  <c r="F3" i="6"/>
  <c r="E3" i="6"/>
  <c r="D3" i="6"/>
  <c r="C3" i="6"/>
  <c r="B3" i="6"/>
  <c r="A3" i="6"/>
  <c r="J2" i="6"/>
  <c r="I2" i="6"/>
  <c r="H2" i="6"/>
  <c r="G2" i="6"/>
  <c r="F2" i="6"/>
  <c r="E2" i="6"/>
  <c r="D2" i="6"/>
  <c r="C2" i="6"/>
  <c r="B2" i="6"/>
  <c r="A2" i="6"/>
  <c r="B24" i="5"/>
  <c r="E23" i="5"/>
  <c r="E24" i="5" s="1"/>
  <c r="C23" i="5"/>
  <c r="C24" i="5" s="1"/>
  <c r="B23" i="5"/>
  <c r="A34" i="4"/>
  <c r="D33" i="4"/>
  <c r="D34" i="4" s="1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F3" i="4" s="1"/>
  <c r="A3" i="4"/>
  <c r="D21" i="3"/>
  <c r="C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1" i="3" s="1"/>
  <c r="I35" i="2"/>
  <c r="C35" i="2"/>
  <c r="R34" i="2"/>
  <c r="R35" i="2" s="1"/>
  <c r="N34" i="2"/>
  <c r="N35" i="2" s="1"/>
  <c r="L34" i="2"/>
  <c r="L35" i="2" s="1"/>
  <c r="K34" i="2"/>
  <c r="K35" i="2" s="1"/>
  <c r="J34" i="2"/>
  <c r="J35" i="2" s="1"/>
  <c r="H34" i="2"/>
  <c r="H35" i="2" s="1"/>
  <c r="F34" i="2"/>
  <c r="F35" i="2" s="1"/>
  <c r="D34" i="2"/>
  <c r="D35" i="2" s="1"/>
  <c r="C34" i="2"/>
  <c r="B34" i="2"/>
  <c r="B35" i="2" s="1"/>
  <c r="M33" i="2"/>
  <c r="I33" i="2"/>
  <c r="G33" i="2"/>
  <c r="E33" i="2"/>
  <c r="M32" i="2"/>
  <c r="I32" i="2"/>
  <c r="G32" i="2"/>
  <c r="E32" i="2"/>
  <c r="M31" i="2"/>
  <c r="I31" i="2"/>
  <c r="G31" i="2"/>
  <c r="E31" i="2"/>
  <c r="M30" i="2"/>
  <c r="Q30" i="2" s="1"/>
  <c r="I30" i="2"/>
  <c r="G30" i="2"/>
  <c r="E30" i="2"/>
  <c r="M29" i="2"/>
  <c r="I29" i="2"/>
  <c r="G29" i="2"/>
  <c r="E29" i="2"/>
  <c r="M28" i="2"/>
  <c r="I28" i="2"/>
  <c r="G28" i="2"/>
  <c r="E28" i="2"/>
  <c r="M27" i="2"/>
  <c r="Q27" i="2" s="1"/>
  <c r="I27" i="2"/>
  <c r="G27" i="2"/>
  <c r="E27" i="2"/>
  <c r="M26" i="2"/>
  <c r="I26" i="2"/>
  <c r="G26" i="2"/>
  <c r="E26" i="2"/>
  <c r="Q26" i="2" s="1"/>
  <c r="M25" i="2"/>
  <c r="I25" i="2"/>
  <c r="G25" i="2"/>
  <c r="E25" i="2"/>
  <c r="M24" i="2"/>
  <c r="I24" i="2"/>
  <c r="G24" i="2"/>
  <c r="E24" i="2"/>
  <c r="M23" i="2"/>
  <c r="I23" i="2"/>
  <c r="G23" i="2"/>
  <c r="E23" i="2"/>
  <c r="M22" i="2"/>
  <c r="Q22" i="2" s="1"/>
  <c r="I22" i="2"/>
  <c r="G22" i="2"/>
  <c r="E22" i="2"/>
  <c r="M21" i="2"/>
  <c r="I21" i="2"/>
  <c r="G21" i="2"/>
  <c r="E21" i="2"/>
  <c r="M20" i="2"/>
  <c r="I20" i="2"/>
  <c r="G20" i="2"/>
  <c r="E20" i="2"/>
  <c r="M19" i="2"/>
  <c r="Q19" i="2" s="1"/>
  <c r="I19" i="2"/>
  <c r="G19" i="2"/>
  <c r="E19" i="2"/>
  <c r="M18" i="2"/>
  <c r="I18" i="2"/>
  <c r="G18" i="2"/>
  <c r="E18" i="2"/>
  <c r="Q18" i="2" s="1"/>
  <c r="M17" i="2"/>
  <c r="I17" i="2"/>
  <c r="G17" i="2"/>
  <c r="E17" i="2"/>
  <c r="M16" i="2"/>
  <c r="I16" i="2"/>
  <c r="G16" i="2"/>
  <c r="E16" i="2"/>
  <c r="M15" i="2"/>
  <c r="I15" i="2"/>
  <c r="G15" i="2"/>
  <c r="E15" i="2"/>
  <c r="M14" i="2"/>
  <c r="Q14" i="2" s="1"/>
  <c r="I14" i="2"/>
  <c r="G14" i="2"/>
  <c r="E14" i="2"/>
  <c r="M13" i="2"/>
  <c r="I13" i="2"/>
  <c r="G13" i="2"/>
  <c r="E13" i="2"/>
  <c r="M12" i="2"/>
  <c r="I12" i="2"/>
  <c r="G12" i="2"/>
  <c r="E12" i="2"/>
  <c r="M11" i="2"/>
  <c r="Q11" i="2" s="1"/>
  <c r="I11" i="2"/>
  <c r="G11" i="2"/>
  <c r="E11" i="2"/>
  <c r="M10" i="2"/>
  <c r="I10" i="2"/>
  <c r="G10" i="2"/>
  <c r="E10" i="2"/>
  <c r="Q10" i="2" s="1"/>
  <c r="M9" i="2"/>
  <c r="I9" i="2"/>
  <c r="G9" i="2"/>
  <c r="E9" i="2"/>
  <c r="M8" i="2"/>
  <c r="I8" i="2"/>
  <c r="G8" i="2"/>
  <c r="E8" i="2"/>
  <c r="M7" i="2"/>
  <c r="Q7" i="2" s="1"/>
  <c r="I7" i="2"/>
  <c r="G7" i="2"/>
  <c r="E7" i="2"/>
  <c r="M6" i="2"/>
  <c r="I6" i="2"/>
  <c r="G6" i="2"/>
  <c r="E6" i="2"/>
  <c r="M5" i="2"/>
  <c r="Q5" i="2" s="1"/>
  <c r="I5" i="2"/>
  <c r="G5" i="2"/>
  <c r="E5" i="2"/>
  <c r="O4" i="2"/>
  <c r="M4" i="2"/>
  <c r="I4" i="2"/>
  <c r="G4" i="2"/>
  <c r="E4" i="2"/>
  <c r="O97" i="1"/>
  <c r="N97" i="1"/>
  <c r="J97" i="1"/>
  <c r="I97" i="1"/>
  <c r="P96" i="1"/>
  <c r="M96" i="1"/>
  <c r="F96" i="1"/>
  <c r="P95" i="1"/>
  <c r="F95" i="1"/>
  <c r="P94" i="1"/>
  <c r="F94" i="1"/>
  <c r="P93" i="1"/>
  <c r="F93" i="1"/>
  <c r="P92" i="1"/>
  <c r="F92" i="1"/>
  <c r="P91" i="1"/>
  <c r="F91" i="1"/>
  <c r="P90" i="1"/>
  <c r="L90" i="1"/>
  <c r="M90" i="1" s="1"/>
  <c r="K90" i="1"/>
  <c r="F90" i="1"/>
  <c r="E90" i="1"/>
  <c r="D90" i="1"/>
  <c r="C90" i="1"/>
  <c r="B90" i="1"/>
  <c r="P89" i="1"/>
  <c r="L89" i="1"/>
  <c r="M89" i="1" s="1"/>
  <c r="K89" i="1"/>
  <c r="F89" i="1"/>
  <c r="E89" i="1"/>
  <c r="D89" i="1"/>
  <c r="C89" i="1"/>
  <c r="B89" i="1"/>
  <c r="P88" i="1"/>
  <c r="L88" i="1"/>
  <c r="M88" i="1" s="1"/>
  <c r="K88" i="1"/>
  <c r="F88" i="1"/>
  <c r="E88" i="1"/>
  <c r="D88" i="1"/>
  <c r="C88" i="1"/>
  <c r="B88" i="1"/>
  <c r="P87" i="1"/>
  <c r="L87" i="1"/>
  <c r="M87" i="1" s="1"/>
  <c r="K87" i="1"/>
  <c r="H87" i="1"/>
  <c r="F87" i="1"/>
  <c r="E87" i="1"/>
  <c r="D87" i="1"/>
  <c r="C87" i="1"/>
  <c r="B87" i="1"/>
  <c r="P86" i="1"/>
  <c r="L86" i="1"/>
  <c r="M86" i="1" s="1"/>
  <c r="K86" i="1"/>
  <c r="F86" i="1"/>
  <c r="E86" i="1"/>
  <c r="D86" i="1"/>
  <c r="C86" i="1"/>
  <c r="B86" i="1"/>
  <c r="P85" i="1"/>
  <c r="L85" i="1"/>
  <c r="M85" i="1" s="1"/>
  <c r="K85" i="1"/>
  <c r="F85" i="1"/>
  <c r="E85" i="1"/>
  <c r="D85" i="1"/>
  <c r="C85" i="1"/>
  <c r="B85" i="1"/>
  <c r="P84" i="1"/>
  <c r="L84" i="1"/>
  <c r="M84" i="1" s="1"/>
  <c r="K84" i="1"/>
  <c r="F84" i="1"/>
  <c r="E84" i="1"/>
  <c r="D84" i="1"/>
  <c r="C84" i="1"/>
  <c r="B84" i="1"/>
  <c r="P83" i="1"/>
  <c r="L83" i="1"/>
  <c r="M83" i="1" s="1"/>
  <c r="K83" i="1"/>
  <c r="H83" i="1"/>
  <c r="F83" i="1"/>
  <c r="E83" i="1"/>
  <c r="D83" i="1"/>
  <c r="C83" i="1"/>
  <c r="B83" i="1"/>
  <c r="P82" i="1"/>
  <c r="L82" i="1"/>
  <c r="M82" i="1" s="1"/>
  <c r="K82" i="1"/>
  <c r="F82" i="1"/>
  <c r="E82" i="1"/>
  <c r="D82" i="1"/>
  <c r="C82" i="1"/>
  <c r="B82" i="1"/>
  <c r="P81" i="1"/>
  <c r="L81" i="1"/>
  <c r="M81" i="1" s="1"/>
  <c r="K81" i="1"/>
  <c r="F81" i="1"/>
  <c r="E81" i="1"/>
  <c r="D81" i="1"/>
  <c r="C81" i="1"/>
  <c r="B81" i="1"/>
  <c r="P80" i="1"/>
  <c r="L80" i="1"/>
  <c r="M80" i="1" s="1"/>
  <c r="K80" i="1"/>
  <c r="H80" i="1"/>
  <c r="F80" i="1"/>
  <c r="E80" i="1"/>
  <c r="D80" i="1"/>
  <c r="C80" i="1"/>
  <c r="B80" i="1"/>
  <c r="P79" i="1"/>
  <c r="L79" i="1"/>
  <c r="M79" i="1" s="1"/>
  <c r="K79" i="1"/>
  <c r="F79" i="1"/>
  <c r="E79" i="1"/>
  <c r="D79" i="1"/>
  <c r="C79" i="1"/>
  <c r="B79" i="1"/>
  <c r="P78" i="1"/>
  <c r="L78" i="1"/>
  <c r="M78" i="1" s="1"/>
  <c r="K78" i="1"/>
  <c r="F78" i="1"/>
  <c r="E78" i="1"/>
  <c r="D78" i="1"/>
  <c r="C78" i="1"/>
  <c r="B78" i="1"/>
  <c r="P77" i="1"/>
  <c r="L77" i="1"/>
  <c r="M77" i="1" s="1"/>
  <c r="K77" i="1"/>
  <c r="F77" i="1"/>
  <c r="E77" i="1"/>
  <c r="D77" i="1"/>
  <c r="C77" i="1"/>
  <c r="B77" i="1"/>
  <c r="P76" i="1"/>
  <c r="L76" i="1"/>
  <c r="M76" i="1" s="1"/>
  <c r="K76" i="1"/>
  <c r="H76" i="1"/>
  <c r="F76" i="1"/>
  <c r="E76" i="1"/>
  <c r="D76" i="1"/>
  <c r="C76" i="1"/>
  <c r="B76" i="1"/>
  <c r="P75" i="1"/>
  <c r="L75" i="1"/>
  <c r="M75" i="1" s="1"/>
  <c r="K75" i="1"/>
  <c r="F75" i="1"/>
  <c r="E75" i="1"/>
  <c r="D75" i="1"/>
  <c r="C75" i="1"/>
  <c r="B75" i="1"/>
  <c r="P74" i="1"/>
  <c r="L74" i="1"/>
  <c r="M74" i="1" s="1"/>
  <c r="K74" i="1"/>
  <c r="H74" i="1"/>
  <c r="H97" i="1" s="1"/>
  <c r="F74" i="1"/>
  <c r="E74" i="1"/>
  <c r="D74" i="1"/>
  <c r="C74" i="1"/>
  <c r="B74" i="1"/>
  <c r="P73" i="1"/>
  <c r="L73" i="1"/>
  <c r="M73" i="1" s="1"/>
  <c r="K73" i="1"/>
  <c r="F73" i="1"/>
  <c r="E73" i="1"/>
  <c r="D73" i="1"/>
  <c r="C73" i="1"/>
  <c r="B73" i="1"/>
  <c r="P72" i="1"/>
  <c r="L72" i="1"/>
  <c r="M72" i="1" s="1"/>
  <c r="K72" i="1"/>
  <c r="F72" i="1"/>
  <c r="E72" i="1"/>
  <c r="D72" i="1"/>
  <c r="C72" i="1"/>
  <c r="B72" i="1"/>
  <c r="P71" i="1"/>
  <c r="L71" i="1"/>
  <c r="M71" i="1" s="1"/>
  <c r="K71" i="1"/>
  <c r="F71" i="1"/>
  <c r="E71" i="1"/>
  <c r="D71" i="1"/>
  <c r="C71" i="1"/>
  <c r="B71" i="1"/>
  <c r="P70" i="1"/>
  <c r="L70" i="1"/>
  <c r="M70" i="1" s="1"/>
  <c r="K70" i="1"/>
  <c r="F70" i="1"/>
  <c r="E70" i="1"/>
  <c r="D70" i="1"/>
  <c r="C70" i="1"/>
  <c r="B70" i="1"/>
  <c r="P69" i="1"/>
  <c r="L69" i="1"/>
  <c r="M69" i="1" s="1"/>
  <c r="K69" i="1"/>
  <c r="F69" i="1"/>
  <c r="E69" i="1"/>
  <c r="D69" i="1"/>
  <c r="C69" i="1"/>
  <c r="B69" i="1"/>
  <c r="P68" i="1"/>
  <c r="L68" i="1"/>
  <c r="M68" i="1" s="1"/>
  <c r="K68" i="1"/>
  <c r="F68" i="1"/>
  <c r="E68" i="1"/>
  <c r="D68" i="1"/>
  <c r="C68" i="1"/>
  <c r="B68" i="1"/>
  <c r="P67" i="1"/>
  <c r="L67" i="1"/>
  <c r="M67" i="1" s="1"/>
  <c r="K67" i="1"/>
  <c r="F67" i="1"/>
  <c r="E67" i="1"/>
  <c r="D67" i="1"/>
  <c r="C67" i="1"/>
  <c r="B67" i="1"/>
  <c r="P66" i="1"/>
  <c r="L66" i="1"/>
  <c r="M66" i="1" s="1"/>
  <c r="K66" i="1"/>
  <c r="F66" i="1"/>
  <c r="E66" i="1"/>
  <c r="D66" i="1"/>
  <c r="C66" i="1"/>
  <c r="B66" i="1"/>
  <c r="O65" i="1"/>
  <c r="N65" i="1"/>
  <c r="L65" i="1"/>
  <c r="K65" i="1"/>
  <c r="J65" i="1"/>
  <c r="I65" i="1"/>
  <c r="H65" i="1"/>
  <c r="E65" i="1"/>
  <c r="D65" i="1"/>
  <c r="C65" i="1"/>
  <c r="B65" i="1"/>
  <c r="R64" i="1"/>
  <c r="P64" i="1"/>
  <c r="M64" i="1"/>
  <c r="G64" i="1"/>
  <c r="F64" i="1"/>
  <c r="R63" i="1"/>
  <c r="P63" i="1"/>
  <c r="M63" i="1"/>
  <c r="G63" i="1"/>
  <c r="F63" i="1"/>
  <c r="S62" i="1"/>
  <c r="R62" i="1"/>
  <c r="P62" i="1"/>
  <c r="M62" i="1"/>
  <c r="G62" i="1"/>
  <c r="F62" i="1"/>
  <c r="S61" i="1"/>
  <c r="R61" i="1"/>
  <c r="P61" i="1"/>
  <c r="M61" i="1"/>
  <c r="G61" i="1"/>
  <c r="F61" i="1"/>
  <c r="S60" i="1"/>
  <c r="R60" i="1"/>
  <c r="P60" i="1"/>
  <c r="M60" i="1"/>
  <c r="G60" i="1"/>
  <c r="F60" i="1"/>
  <c r="S59" i="1"/>
  <c r="R59" i="1"/>
  <c r="P59" i="1"/>
  <c r="M59" i="1"/>
  <c r="G59" i="1"/>
  <c r="F59" i="1"/>
  <c r="S58" i="1"/>
  <c r="R58" i="1"/>
  <c r="P58" i="1"/>
  <c r="M58" i="1"/>
  <c r="G58" i="1"/>
  <c r="F58" i="1"/>
  <c r="S57" i="1"/>
  <c r="R57" i="1"/>
  <c r="P57" i="1"/>
  <c r="M57" i="1"/>
  <c r="G57" i="1"/>
  <c r="F57" i="1"/>
  <c r="S56" i="1"/>
  <c r="R56" i="1"/>
  <c r="P56" i="1"/>
  <c r="M56" i="1"/>
  <c r="G56" i="1"/>
  <c r="F56" i="1"/>
  <c r="S55" i="1"/>
  <c r="R55" i="1"/>
  <c r="P55" i="1"/>
  <c r="M55" i="1"/>
  <c r="G55" i="1"/>
  <c r="F55" i="1"/>
  <c r="S54" i="1"/>
  <c r="R54" i="1"/>
  <c r="P54" i="1"/>
  <c r="M54" i="1"/>
  <c r="G54" i="1"/>
  <c r="F54" i="1"/>
  <c r="S53" i="1"/>
  <c r="R53" i="1"/>
  <c r="P53" i="1"/>
  <c r="M53" i="1"/>
  <c r="G53" i="1"/>
  <c r="F53" i="1"/>
  <c r="S52" i="1"/>
  <c r="R52" i="1"/>
  <c r="P52" i="1"/>
  <c r="M52" i="1"/>
  <c r="G52" i="1"/>
  <c r="F52" i="1"/>
  <c r="S51" i="1"/>
  <c r="R51" i="1"/>
  <c r="P51" i="1"/>
  <c r="M51" i="1"/>
  <c r="G51" i="1"/>
  <c r="F51" i="1"/>
  <c r="S50" i="1"/>
  <c r="R50" i="1"/>
  <c r="P50" i="1"/>
  <c r="M50" i="1"/>
  <c r="G50" i="1"/>
  <c r="F50" i="1"/>
  <c r="S49" i="1"/>
  <c r="R49" i="1"/>
  <c r="P49" i="1"/>
  <c r="M49" i="1"/>
  <c r="G49" i="1"/>
  <c r="F49" i="1"/>
  <c r="S48" i="1"/>
  <c r="R48" i="1"/>
  <c r="P48" i="1"/>
  <c r="M48" i="1"/>
  <c r="G48" i="1"/>
  <c r="F48" i="1"/>
  <c r="S47" i="1"/>
  <c r="R47" i="1"/>
  <c r="P47" i="1"/>
  <c r="M47" i="1"/>
  <c r="G47" i="1"/>
  <c r="F47" i="1"/>
  <c r="S46" i="1"/>
  <c r="R46" i="1"/>
  <c r="P46" i="1"/>
  <c r="M46" i="1"/>
  <c r="G46" i="1"/>
  <c r="F46" i="1"/>
  <c r="S45" i="1"/>
  <c r="R45" i="1"/>
  <c r="P45" i="1"/>
  <c r="M45" i="1"/>
  <c r="G45" i="1"/>
  <c r="F45" i="1"/>
  <c r="S44" i="1"/>
  <c r="R44" i="1"/>
  <c r="P44" i="1"/>
  <c r="M44" i="1"/>
  <c r="G44" i="1"/>
  <c r="F44" i="1"/>
  <c r="S43" i="1"/>
  <c r="R43" i="1"/>
  <c r="P43" i="1"/>
  <c r="M43" i="1"/>
  <c r="G43" i="1"/>
  <c r="F43" i="1"/>
  <c r="S42" i="1"/>
  <c r="R42" i="1"/>
  <c r="P42" i="1"/>
  <c r="M42" i="1"/>
  <c r="G42" i="1"/>
  <c r="F42" i="1"/>
  <c r="S41" i="1"/>
  <c r="R41" i="1"/>
  <c r="P41" i="1"/>
  <c r="M41" i="1"/>
  <c r="G41" i="1"/>
  <c r="F41" i="1"/>
  <c r="S40" i="1"/>
  <c r="R40" i="1"/>
  <c r="P40" i="1"/>
  <c r="M40" i="1"/>
  <c r="G40" i="1"/>
  <c r="F40" i="1"/>
  <c r="S39" i="1"/>
  <c r="R39" i="1"/>
  <c r="P39" i="1"/>
  <c r="M39" i="1"/>
  <c r="G39" i="1"/>
  <c r="F39" i="1"/>
  <c r="S38" i="1"/>
  <c r="R38" i="1"/>
  <c r="P38" i="1"/>
  <c r="M38" i="1"/>
  <c r="G38" i="1"/>
  <c r="F38" i="1"/>
  <c r="S37" i="1"/>
  <c r="R37" i="1"/>
  <c r="P37" i="1"/>
  <c r="M37" i="1"/>
  <c r="G37" i="1"/>
  <c r="F37" i="1"/>
  <c r="S36" i="1"/>
  <c r="R36" i="1"/>
  <c r="P36" i="1"/>
  <c r="M36" i="1"/>
  <c r="G36" i="1"/>
  <c r="F36" i="1"/>
  <c r="S35" i="1"/>
  <c r="R35" i="1"/>
  <c r="P35" i="1"/>
  <c r="M35" i="1"/>
  <c r="M65" i="1" s="1"/>
  <c r="G35" i="1"/>
  <c r="F35" i="1"/>
  <c r="O34" i="1"/>
  <c r="N34" i="1"/>
  <c r="L34" i="1"/>
  <c r="K34" i="1"/>
  <c r="J34" i="1"/>
  <c r="I34" i="1"/>
  <c r="E34" i="1"/>
  <c r="D34" i="1"/>
  <c r="C34" i="1"/>
  <c r="B34" i="1"/>
  <c r="R33" i="1"/>
  <c r="P33" i="1"/>
  <c r="M33" i="1"/>
  <c r="H33" i="1"/>
  <c r="G33" i="1"/>
  <c r="F33" i="1"/>
  <c r="C32" i="4" s="1"/>
  <c r="R32" i="1"/>
  <c r="P32" i="1"/>
  <c r="M32" i="1"/>
  <c r="H32" i="1"/>
  <c r="G32" i="1"/>
  <c r="F32" i="1"/>
  <c r="C31" i="4" s="1"/>
  <c r="S31" i="1"/>
  <c r="R31" i="1"/>
  <c r="P31" i="1"/>
  <c r="M31" i="1"/>
  <c r="H31" i="1"/>
  <c r="G31" i="1"/>
  <c r="F31" i="1"/>
  <c r="C30" i="4" s="1"/>
  <c r="S30" i="1"/>
  <c r="R30" i="1"/>
  <c r="P30" i="1"/>
  <c r="M30" i="1"/>
  <c r="G30" i="1"/>
  <c r="F30" i="1"/>
  <c r="C29" i="4" s="1"/>
  <c r="S29" i="1"/>
  <c r="R29" i="1"/>
  <c r="P29" i="1"/>
  <c r="M29" i="1"/>
  <c r="G29" i="1"/>
  <c r="F29" i="1"/>
  <c r="C28" i="4" s="1"/>
  <c r="S28" i="1"/>
  <c r="R28" i="1"/>
  <c r="P28" i="1"/>
  <c r="M28" i="1"/>
  <c r="G28" i="1"/>
  <c r="F28" i="1"/>
  <c r="C27" i="4" s="1"/>
  <c r="S27" i="1"/>
  <c r="R27" i="1"/>
  <c r="P27" i="1"/>
  <c r="M27" i="1"/>
  <c r="G27" i="1"/>
  <c r="F27" i="1"/>
  <c r="C26" i="4" s="1"/>
  <c r="S26" i="1"/>
  <c r="R26" i="1"/>
  <c r="P26" i="1"/>
  <c r="M26" i="1"/>
  <c r="G26" i="1"/>
  <c r="F26" i="1"/>
  <c r="C25" i="4" s="1"/>
  <c r="S25" i="1"/>
  <c r="R25" i="1"/>
  <c r="P25" i="1"/>
  <c r="M25" i="1"/>
  <c r="G25" i="1"/>
  <c r="F25" i="1"/>
  <c r="C24" i="4" s="1"/>
  <c r="S24" i="1"/>
  <c r="R24" i="1"/>
  <c r="P24" i="1"/>
  <c r="M24" i="1"/>
  <c r="G24" i="1"/>
  <c r="F24" i="1"/>
  <c r="C23" i="4" s="1"/>
  <c r="S23" i="1"/>
  <c r="R23" i="1"/>
  <c r="P23" i="1"/>
  <c r="M23" i="1"/>
  <c r="G23" i="1"/>
  <c r="F23" i="1"/>
  <c r="C22" i="4" s="1"/>
  <c r="S22" i="1"/>
  <c r="R22" i="1"/>
  <c r="P22" i="1"/>
  <c r="M22" i="1"/>
  <c r="G22" i="1"/>
  <c r="F22" i="1"/>
  <c r="C21" i="4" s="1"/>
  <c r="S21" i="1"/>
  <c r="R21" i="1"/>
  <c r="P21" i="1"/>
  <c r="M21" i="1"/>
  <c r="G21" i="1"/>
  <c r="F21" i="1"/>
  <c r="C20" i="4" s="1"/>
  <c r="S20" i="1"/>
  <c r="R20" i="1"/>
  <c r="P20" i="1"/>
  <c r="M20" i="1"/>
  <c r="G20" i="1"/>
  <c r="F20" i="1"/>
  <c r="C19" i="4" s="1"/>
  <c r="S19" i="1"/>
  <c r="R19" i="1"/>
  <c r="P19" i="1"/>
  <c r="M19" i="1"/>
  <c r="G19" i="1"/>
  <c r="F19" i="1"/>
  <c r="C18" i="4" s="1"/>
  <c r="S18" i="1"/>
  <c r="R18" i="1"/>
  <c r="P18" i="1"/>
  <c r="M18" i="1"/>
  <c r="G18" i="1"/>
  <c r="F18" i="1"/>
  <c r="C17" i="4" s="1"/>
  <c r="S17" i="1"/>
  <c r="R17" i="1"/>
  <c r="P17" i="1"/>
  <c r="M17" i="1"/>
  <c r="G17" i="1"/>
  <c r="F17" i="1"/>
  <c r="C16" i="4" s="1"/>
  <c r="S16" i="1"/>
  <c r="R16" i="1"/>
  <c r="P16" i="1"/>
  <c r="M16" i="1"/>
  <c r="G16" i="1"/>
  <c r="F16" i="1"/>
  <c r="C15" i="4" s="1"/>
  <c r="S15" i="1"/>
  <c r="R15" i="1"/>
  <c r="P15" i="1"/>
  <c r="M15" i="1"/>
  <c r="G15" i="1"/>
  <c r="F15" i="1"/>
  <c r="C14" i="4" s="1"/>
  <c r="S14" i="1"/>
  <c r="R14" i="1"/>
  <c r="P14" i="1"/>
  <c r="M14" i="1"/>
  <c r="G14" i="1"/>
  <c r="F14" i="1"/>
  <c r="C13" i="4" s="1"/>
  <c r="S13" i="1"/>
  <c r="R13" i="1"/>
  <c r="P13" i="1"/>
  <c r="M13" i="1"/>
  <c r="G13" i="1"/>
  <c r="F13" i="1"/>
  <c r="C12" i="4" s="1"/>
  <c r="S12" i="1"/>
  <c r="R12" i="1"/>
  <c r="P12" i="1"/>
  <c r="M12" i="1"/>
  <c r="G12" i="1"/>
  <c r="F12" i="1"/>
  <c r="C11" i="4" s="1"/>
  <c r="S11" i="1"/>
  <c r="R11" i="1"/>
  <c r="P11" i="1"/>
  <c r="M11" i="1"/>
  <c r="G11" i="1"/>
  <c r="F11" i="1"/>
  <c r="C10" i="4" s="1"/>
  <c r="S10" i="1"/>
  <c r="R10" i="1"/>
  <c r="P10" i="1"/>
  <c r="M10" i="1"/>
  <c r="G10" i="1"/>
  <c r="F10" i="1"/>
  <c r="C9" i="4" s="1"/>
  <c r="S9" i="1"/>
  <c r="R9" i="1"/>
  <c r="P9" i="1"/>
  <c r="M9" i="1"/>
  <c r="G9" i="1"/>
  <c r="F9" i="1"/>
  <c r="C8" i="4" s="1"/>
  <c r="S8" i="1"/>
  <c r="R8" i="1"/>
  <c r="P8" i="1"/>
  <c r="M8" i="1"/>
  <c r="G8" i="1"/>
  <c r="F8" i="1"/>
  <c r="C7" i="4" s="1"/>
  <c r="S7" i="1"/>
  <c r="R7" i="1"/>
  <c r="P7" i="1"/>
  <c r="M7" i="1"/>
  <c r="G7" i="1"/>
  <c r="F7" i="1"/>
  <c r="C6" i="4" s="1"/>
  <c r="S6" i="1"/>
  <c r="R6" i="1"/>
  <c r="P6" i="1"/>
  <c r="M6" i="1"/>
  <c r="G6" i="1"/>
  <c r="F6" i="1"/>
  <c r="C5" i="4" s="1"/>
  <c r="S5" i="1"/>
  <c r="R5" i="1"/>
  <c r="P5" i="1"/>
  <c r="M5" i="1"/>
  <c r="G5" i="1"/>
  <c r="F5" i="1"/>
  <c r="C4" i="4" s="1"/>
  <c r="S4" i="1"/>
  <c r="R4" i="1"/>
  <c r="P4" i="1"/>
  <c r="P34" i="1" s="1"/>
  <c r="M4" i="1"/>
  <c r="G4" i="1"/>
  <c r="Q4" i="1" s="1"/>
  <c r="F4" i="1"/>
  <c r="C3" i="4" s="1"/>
  <c r="G34" i="2" l="1"/>
  <c r="G35" i="2" s="1"/>
  <c r="Q8" i="2"/>
  <c r="Q15" i="2"/>
  <c r="Q23" i="2"/>
  <c r="Q31" i="2"/>
  <c r="Q32" i="2"/>
  <c r="M34" i="1"/>
  <c r="H34" i="1"/>
  <c r="H98" i="1" s="1"/>
  <c r="O98" i="1"/>
  <c r="G65" i="1"/>
  <c r="P65" i="1"/>
  <c r="F97" i="1"/>
  <c r="F98" i="1" s="1"/>
  <c r="G78" i="1"/>
  <c r="G80" i="1"/>
  <c r="S85" i="1"/>
  <c r="S87" i="1"/>
  <c r="G89" i="1"/>
  <c r="G91" i="1"/>
  <c r="G93" i="1"/>
  <c r="S76" i="1"/>
  <c r="R65" i="1"/>
  <c r="C97" i="1"/>
  <c r="C98" i="1" s="1"/>
  <c r="E97" i="1"/>
  <c r="E98" i="1" s="1"/>
  <c r="K97" i="1"/>
  <c r="R67" i="1"/>
  <c r="R71" i="1"/>
  <c r="S74" i="1"/>
  <c r="G75" i="1"/>
  <c r="S77" i="1"/>
  <c r="S79" i="1"/>
  <c r="S83" i="1"/>
  <c r="G84" i="1"/>
  <c r="R85" i="1"/>
  <c r="G86" i="1"/>
  <c r="S88" i="1"/>
  <c r="S90" i="1"/>
  <c r="S92" i="1"/>
  <c r="G94" i="1"/>
  <c r="G96" i="1"/>
  <c r="R69" i="1"/>
  <c r="R73" i="1"/>
  <c r="R77" i="1"/>
  <c r="R79" i="1"/>
  <c r="R82" i="1"/>
  <c r="R88" i="1"/>
  <c r="R90" i="1"/>
  <c r="R92" i="1"/>
  <c r="R94" i="1"/>
  <c r="R95" i="1"/>
  <c r="M97" i="1"/>
  <c r="M98" i="1" s="1"/>
  <c r="R75" i="1"/>
  <c r="R78" i="1"/>
  <c r="R80" i="1"/>
  <c r="R84" i="1"/>
  <c r="R86" i="1"/>
  <c r="R89" i="1"/>
  <c r="R91" i="1"/>
  <c r="R93" i="1"/>
  <c r="I98" i="1"/>
  <c r="G66" i="1"/>
  <c r="R66" i="1"/>
  <c r="S67" i="1"/>
  <c r="G68" i="1"/>
  <c r="R68" i="1"/>
  <c r="S69" i="1"/>
  <c r="G70" i="1"/>
  <c r="R70" i="1"/>
  <c r="S71" i="1"/>
  <c r="G72" i="1"/>
  <c r="R72" i="1"/>
  <c r="S73" i="1"/>
  <c r="G74" i="1"/>
  <c r="R74" i="1"/>
  <c r="R76" i="1"/>
  <c r="S80" i="1"/>
  <c r="G81" i="1"/>
  <c r="R81" i="1"/>
  <c r="S82" i="1"/>
  <c r="G83" i="1"/>
  <c r="R83" i="1"/>
  <c r="R87" i="1"/>
  <c r="G95" i="1"/>
  <c r="P98" i="1"/>
  <c r="K98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G34" i="1"/>
  <c r="S34" i="1"/>
  <c r="S66" i="1"/>
  <c r="G67" i="1"/>
  <c r="S68" i="1"/>
  <c r="G69" i="1"/>
  <c r="S70" i="1"/>
  <c r="G71" i="1"/>
  <c r="S72" i="1"/>
  <c r="G73" i="1"/>
  <c r="S75" i="1"/>
  <c r="G76" i="1"/>
  <c r="G77" i="1"/>
  <c r="S78" i="1"/>
  <c r="G79" i="1"/>
  <c r="S81" i="1"/>
  <c r="G82" i="1"/>
  <c r="S84" i="1"/>
  <c r="G85" i="1"/>
  <c r="S86" i="1"/>
  <c r="G87" i="1"/>
  <c r="G88" i="1"/>
  <c r="S89" i="1"/>
  <c r="G90" i="1"/>
  <c r="S91" i="1"/>
  <c r="G92" i="1"/>
  <c r="S93" i="1"/>
  <c r="B97" i="1"/>
  <c r="S97" i="1" s="1"/>
  <c r="D97" i="1"/>
  <c r="Q12" i="2"/>
  <c r="Q20" i="2"/>
  <c r="Q28" i="2"/>
  <c r="J98" i="1"/>
  <c r="N98" i="1"/>
  <c r="R34" i="1"/>
  <c r="S65" i="1"/>
  <c r="L97" i="1"/>
  <c r="L98" i="1" s="1"/>
  <c r="P97" i="1"/>
  <c r="E34" i="2"/>
  <c r="E35" i="2" s="1"/>
  <c r="O5" i="2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Q6" i="2"/>
  <c r="Q16" i="2"/>
  <c r="Q24" i="2"/>
  <c r="M34" i="2"/>
  <c r="Q4" i="2"/>
  <c r="Q9" i="2"/>
  <c r="Q13" i="2"/>
  <c r="Q17" i="2"/>
  <c r="Q21" i="2"/>
  <c r="Q25" i="2"/>
  <c r="Q29" i="2"/>
  <c r="Q33" i="2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B33" i="4"/>
  <c r="R97" i="1" l="1"/>
  <c r="Q34" i="2"/>
  <c r="S4" i="2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Q34" i="1"/>
  <c r="B98" i="1"/>
  <c r="S98" i="1" s="1"/>
  <c r="B34" i="4"/>
  <c r="F34" i="4" s="1"/>
  <c r="F33" i="4"/>
  <c r="O34" i="2"/>
  <c r="O35" i="2" s="1"/>
  <c r="M35" i="2"/>
  <c r="D98" i="1"/>
  <c r="G97" i="1"/>
  <c r="R98" i="1" l="1"/>
  <c r="Q65" i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35" i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G98" i="1"/>
  <c r="Q98" i="1" s="1"/>
  <c r="Q35" i="2"/>
  <c r="S35" i="2" s="1"/>
  <c r="S34" i="2"/>
  <c r="Q97" i="1" l="1"/>
</calcChain>
</file>

<file path=xl/sharedStrings.xml><?xml version="1.0" encoding="utf-8"?>
<sst xmlns="http://schemas.openxmlformats.org/spreadsheetml/2006/main" count="74" uniqueCount="64">
  <si>
    <t>WEBNORUS EUR 20393</t>
  </si>
  <si>
    <t>Дата</t>
  </si>
  <si>
    <t>Оборот, EUR</t>
  </si>
  <si>
    <t>Q-ty</t>
  </si>
  <si>
    <t>Вознаграждение 3.8%</t>
  </si>
  <si>
    <t>RR 10% max 37.5k</t>
  </si>
  <si>
    <t>180 days</t>
  </si>
  <si>
    <t>Итог к выплате:</t>
  </si>
  <si>
    <t>Отправка на р/с</t>
  </si>
  <si>
    <t>д/с в дороге</t>
  </si>
  <si>
    <t>Взаимозачет (выплаты)</t>
  </si>
  <si>
    <t>Refund</t>
  </si>
  <si>
    <t>CHB</t>
  </si>
  <si>
    <t>Задолженность</t>
  </si>
  <si>
    <t>кол-во</t>
  </si>
  <si>
    <t>fix 5 euro</t>
  </si>
  <si>
    <t>fix 50 euro</t>
  </si>
  <si>
    <t>09.2025:</t>
  </si>
  <si>
    <t>11.2025:</t>
  </si>
  <si>
    <t>12.2025:</t>
  </si>
  <si>
    <t>Итог 2025:</t>
  </si>
  <si>
    <t>20463        WEBNORUS BLIK</t>
  </si>
  <si>
    <t>EUR</t>
  </si>
  <si>
    <t>Date</t>
  </si>
  <si>
    <t>Turnover,PLN</t>
  </si>
  <si>
    <t>Fee 2.5%</t>
  </si>
  <si>
    <t>Q-TY</t>
  </si>
  <si>
    <t>0,1 EUR  fix</t>
  </si>
  <si>
    <t>неуспеш трнз</t>
  </si>
  <si>
    <t>RR  10%, max 30k EUR</t>
  </si>
  <si>
    <t>RR
 (180)</t>
  </si>
  <si>
    <t>REF, PLN</t>
  </si>
  <si>
    <t>QTY</t>
  </si>
  <si>
    <t>FX  5 EURO</t>
  </si>
  <si>
    <t>Total to pay:</t>
  </si>
  <si>
    <t>Settlment PLN</t>
  </si>
  <si>
    <t>Debt PLN</t>
  </si>
  <si>
    <t>RATE</t>
  </si>
  <si>
    <t>Total:</t>
  </si>
  <si>
    <t>Settlment EUR</t>
  </si>
  <si>
    <t>Total to pay EUR:</t>
  </si>
  <si>
    <t>10.2025:</t>
  </si>
  <si>
    <t>Total</t>
  </si>
  <si>
    <t>Payment, EUR</t>
  </si>
  <si>
    <t>Payment, NOK</t>
  </si>
  <si>
    <t>Payment, AUD</t>
  </si>
  <si>
    <t>total</t>
  </si>
  <si>
    <t>Payment details</t>
  </si>
  <si>
    <t>Bank</t>
  </si>
  <si>
    <t>Payment for agreement No 0209-25 dd 02.09.2025</t>
  </si>
  <si>
    <t>37.5к EUR</t>
  </si>
  <si>
    <t>Дата RR</t>
  </si>
  <si>
    <t xml:space="preserve">Сумма RR </t>
  </si>
  <si>
    <t>Дата к выплате</t>
  </si>
  <si>
    <t>Выплачено</t>
  </si>
  <si>
    <t>Дата выплаты</t>
  </si>
  <si>
    <t>Остаток к выплате</t>
  </si>
  <si>
    <t>дата</t>
  </si>
  <si>
    <t>AUD</t>
  </si>
  <si>
    <t>NOK</t>
  </si>
  <si>
    <t>курс</t>
  </si>
  <si>
    <t>оплачено</t>
  </si>
  <si>
    <t>07.2025:</t>
  </si>
  <si>
    <t>2025: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</si>
</sst>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00"/>
    <numFmt numFmtId="166" formatCode="d\.m\.yyyy"/>
    <numFmt numFmtId="167" formatCode="yyyy\-mm\-dd"/>
  </numFmts>
  <fonts count="22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i/>
      <sz val="11"/>
      <color rgb="FFD9D9D9"/>
      <name val="Calibri"/>
    </font>
    <font>
      <sz val="11"/>
      <color theme="1"/>
      <name val="Calibri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theme="1"/>
      <name val="Calibri"/>
    </font>
    <font>
      <i/>
      <sz val="11"/>
      <color theme="1"/>
      <name val="Calibri"/>
    </font>
    <font>
      <i/>
      <sz val="11"/>
      <color rgb="FFD9D9D9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i/>
      <sz val="11"/>
      <color theme="1"/>
      <name val="Calibri"/>
    </font>
    <font>
      <b/>
      <sz val="11"/>
      <color rgb="FF980000"/>
      <name val="Calibri"/>
    </font>
    <font>
      <b/>
      <i/>
      <sz val="11"/>
      <color rgb="FFFF0000"/>
      <name val="Calibri"/>
    </font>
    <font>
      <b/>
      <sz val="11"/>
      <color rgb="FFFF0000"/>
      <name val="Calibri"/>
    </font>
    <font>
      <sz val="11"/>
      <color rgb="FF980000"/>
      <name val="Calibri"/>
    </font>
    <font>
      <sz val="11"/>
      <color rgb="FFFF0000"/>
      <name val="Calibri"/>
    </font>
    <font>
      <b/>
      <sz val="11"/>
      <color theme="1"/>
      <name val="Calibri"/>
      <scheme val="minor"/>
    </font>
    <font>
      <sz val="12"/>
      <color rgb="FF000000"/>
      <name val="Roboto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3" fillId="0" borderId="0" xfId="0" applyFont="1"/>
    <xf numFmtId="164" fontId="4" fillId="0" borderId="2" xfId="0" applyNumberFormat="1" applyFont="1" applyBorder="1" applyAlignment="1">
      <alignment horizontal="right"/>
    </xf>
    <xf numFmtId="0" fontId="4" fillId="3" borderId="0" xfId="0" applyFont="1" applyFill="1" applyAlignment="1"/>
    <xf numFmtId="4" fontId="4" fillId="0" borderId="0" xfId="0" applyNumberFormat="1" applyFont="1" applyAlignment="1"/>
    <xf numFmtId="4" fontId="4" fillId="3" borderId="2" xfId="0" applyNumberFormat="1" applyFont="1" applyFill="1" applyBorder="1" applyAlignment="1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9" fillId="3" borderId="0" xfId="0" applyFont="1" applyFill="1"/>
    <xf numFmtId="0" fontId="9" fillId="0" borderId="0" xfId="0" applyFont="1"/>
    <xf numFmtId="4" fontId="10" fillId="0" borderId="0" xfId="0" applyNumberFormat="1" applyFont="1" applyAlignment="1"/>
    <xf numFmtId="3" fontId="11" fillId="0" borderId="0" xfId="0" applyNumberFormat="1" applyFont="1"/>
    <xf numFmtId="0" fontId="4" fillId="3" borderId="2" xfId="0" applyFont="1" applyFill="1" applyBorder="1" applyAlignment="1"/>
    <xf numFmtId="4" fontId="4" fillId="0" borderId="2" xfId="0" applyNumberFormat="1" applyFont="1" applyBorder="1" applyAlignment="1"/>
    <xf numFmtId="0" fontId="10" fillId="0" borderId="0" xfId="0" applyFont="1"/>
    <xf numFmtId="0" fontId="4" fillId="0" borderId="0" xfId="0" applyFont="1" applyAlignment="1"/>
    <xf numFmtId="0" fontId="7" fillId="4" borderId="2" xfId="0" applyFont="1" applyFill="1" applyBorder="1" applyAlignment="1"/>
    <xf numFmtId="0" fontId="7" fillId="4" borderId="2" xfId="0" applyFont="1" applyFill="1" applyBorder="1" applyAlignment="1">
      <alignment horizontal="center" wrapText="1"/>
    </xf>
    <xf numFmtId="4" fontId="10" fillId="0" borderId="2" xfId="0" applyNumberFormat="1" applyFont="1" applyBorder="1" applyAlignment="1"/>
    <xf numFmtId="0" fontId="10" fillId="0" borderId="2" xfId="0" applyFont="1" applyBorder="1" applyAlignment="1"/>
    <xf numFmtId="4" fontId="10" fillId="0" borderId="2" xfId="0" applyNumberFormat="1" applyFont="1" applyBorder="1"/>
    <xf numFmtId="4" fontId="10" fillId="0" borderId="0" xfId="0" applyNumberFormat="1" applyFont="1"/>
    <xf numFmtId="0" fontId="18" fillId="4" borderId="2" xfId="0" applyFont="1" applyFill="1" applyBorder="1" applyAlignment="1"/>
    <xf numFmtId="0" fontId="18" fillId="4" borderId="2" xfId="0" applyFont="1" applyFill="1" applyBorder="1"/>
    <xf numFmtId="4" fontId="18" fillId="4" borderId="2" xfId="0" applyNumberFormat="1" applyFont="1" applyFill="1" applyBorder="1"/>
    <xf numFmtId="0" fontId="7" fillId="4" borderId="7" xfId="0" applyFont="1" applyFill="1" applyBorder="1" applyAlignment="1"/>
    <xf numFmtId="164" fontId="4" fillId="3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4" fontId="4" fillId="3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4" fontId="7" fillId="4" borderId="1" xfId="0" applyNumberFormat="1" applyFont="1" applyFill="1" applyBorder="1" applyAlignment="1"/>
    <xf numFmtId="4" fontId="7" fillId="4" borderId="1" xfId="0" applyNumberFormat="1" applyFont="1" applyFill="1" applyBorder="1" applyAlignment="1">
      <alignment horizontal="right"/>
    </xf>
    <xf numFmtId="4" fontId="7" fillId="4" borderId="2" xfId="0" applyNumberFormat="1" applyFont="1" applyFill="1" applyBorder="1" applyAlignment="1">
      <alignment horizontal="right"/>
    </xf>
    <xf numFmtId="0" fontId="4" fillId="6" borderId="0" xfId="0" applyFont="1" applyFill="1" applyAlignment="1"/>
    <xf numFmtId="0" fontId="7" fillId="4" borderId="6" xfId="0" applyFont="1" applyFill="1" applyBorder="1" applyAlignment="1"/>
    <xf numFmtId="0" fontId="7" fillId="4" borderId="6" xfId="0" applyFont="1" applyFill="1" applyBorder="1" applyAlignment="1"/>
    <xf numFmtId="165" fontId="7" fillId="4" borderId="6" xfId="0" applyNumberFormat="1" applyFont="1" applyFill="1" applyBorder="1" applyAlignment="1"/>
    <xf numFmtId="0" fontId="10" fillId="3" borderId="0" xfId="0" applyFont="1" applyFill="1"/>
    <xf numFmtId="0" fontId="4" fillId="0" borderId="2" xfId="0" applyFont="1" applyBorder="1" applyAlignment="1"/>
    <xf numFmtId="4" fontId="4" fillId="0" borderId="2" xfId="0" applyNumberFormat="1" applyFont="1" applyBorder="1" applyAlignment="1"/>
    <xf numFmtId="165" fontId="4" fillId="0" borderId="2" xfId="0" applyNumberFormat="1" applyFont="1" applyBorder="1" applyAlignment="1"/>
    <xf numFmtId="4" fontId="10" fillId="3" borderId="0" xfId="0" applyNumberFormat="1" applyFont="1" applyFill="1"/>
    <xf numFmtId="0" fontId="19" fillId="3" borderId="0" xfId="0" applyFont="1" applyFill="1" applyAlignment="1"/>
    <xf numFmtId="0" fontId="4" fillId="3" borderId="2" xfId="0" applyFont="1" applyFill="1" applyBorder="1" applyAlignment="1"/>
    <xf numFmtId="165" fontId="4" fillId="3" borderId="2" xfId="0" applyNumberFormat="1" applyFont="1" applyFill="1" applyBorder="1" applyAlignment="1"/>
    <xf numFmtId="0" fontId="7" fillId="4" borderId="2" xfId="0" applyFont="1" applyFill="1" applyBorder="1" applyAlignment="1"/>
    <xf numFmtId="165" fontId="10" fillId="0" borderId="0" xfId="0" applyNumberFormat="1" applyFont="1"/>
    <xf numFmtId="0" fontId="4" fillId="7" borderId="0" xfId="0" applyFont="1" applyFill="1" applyAlignment="1"/>
    <xf numFmtId="167" fontId="4" fillId="0" borderId="0" xfId="0" applyNumberFormat="1" applyFont="1" applyAlignment="1"/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5" fillId="2" borderId="8" xfId="0" applyNumberFormat="1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right"/>
    </xf>
    <xf numFmtId="4" fontId="4" fillId="3" borderId="8" xfId="0" applyNumberFormat="1" applyFont="1" applyFill="1" applyBorder="1" applyAlignment="1"/>
    <xf numFmtId="3" fontId="4" fillId="3" borderId="8" xfId="0" applyNumberFormat="1" applyFont="1" applyFill="1" applyBorder="1" applyAlignment="1"/>
    <xf numFmtId="164" fontId="4" fillId="3" borderId="8" xfId="0" applyNumberFormat="1" applyFont="1" applyFill="1" applyBorder="1" applyAlignment="1">
      <alignment horizontal="right"/>
    </xf>
    <xf numFmtId="4" fontId="4" fillId="3" borderId="8" xfId="0" applyNumberFormat="1" applyFont="1" applyFill="1" applyBorder="1" applyAlignment="1">
      <alignment horizontal="right"/>
    </xf>
    <xf numFmtId="4" fontId="7" fillId="3" borderId="8" xfId="0" applyNumberFormat="1" applyFont="1" applyFill="1" applyBorder="1" applyAlignment="1">
      <alignment horizontal="right"/>
    </xf>
    <xf numFmtId="4" fontId="4" fillId="0" borderId="8" xfId="0" applyNumberFormat="1" applyFont="1" applyBorder="1" applyAlignment="1"/>
    <xf numFmtId="3" fontId="4" fillId="0" borderId="8" xfId="0" applyNumberFormat="1" applyFont="1" applyBorder="1" applyAlignment="1"/>
    <xf numFmtId="3" fontId="8" fillId="3" borderId="8" xfId="0" applyNumberFormat="1" applyFont="1" applyFill="1" applyBorder="1" applyAlignment="1">
      <alignment horizontal="right"/>
    </xf>
    <xf numFmtId="3" fontId="4" fillId="3" borderId="8" xfId="0" applyNumberFormat="1" applyFont="1" applyFill="1" applyBorder="1" applyAlignment="1">
      <alignment horizontal="right"/>
    </xf>
    <xf numFmtId="0" fontId="7" fillId="4" borderId="8" xfId="0" applyFont="1" applyFill="1" applyBorder="1" applyAlignment="1">
      <alignment wrapText="1"/>
    </xf>
    <xf numFmtId="4" fontId="7" fillId="4" borderId="8" xfId="0" applyNumberFormat="1" applyFont="1" applyFill="1" applyBorder="1" applyAlignment="1">
      <alignment horizontal="right"/>
    </xf>
    <xf numFmtId="4" fontId="4" fillId="4" borderId="8" xfId="0" applyNumberFormat="1" applyFont="1" applyFill="1" applyBorder="1" applyAlignment="1"/>
    <xf numFmtId="4" fontId="7" fillId="5" borderId="8" xfId="0" applyNumberFormat="1" applyFont="1" applyFill="1" applyBorder="1" applyAlignment="1">
      <alignment horizontal="right"/>
    </xf>
    <xf numFmtId="0" fontId="7" fillId="5" borderId="8" xfId="0" applyFont="1" applyFill="1" applyBorder="1" applyAlignment="1">
      <alignment wrapText="1"/>
    </xf>
    <xf numFmtId="4" fontId="7" fillId="5" borderId="8" xfId="0" applyNumberFormat="1" applyFont="1" applyFill="1" applyBorder="1" applyAlignment="1"/>
    <xf numFmtId="4" fontId="4" fillId="2" borderId="8" xfId="0" applyNumberFormat="1" applyFont="1" applyFill="1" applyBorder="1" applyAlignment="1">
      <alignment horizontal="center" wrapText="1"/>
    </xf>
    <xf numFmtId="0" fontId="2" fillId="0" borderId="8" xfId="0" applyFont="1" applyBorder="1"/>
    <xf numFmtId="4" fontId="5" fillId="2" borderId="8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 applyAlignment="1"/>
    <xf numFmtId="4" fontId="1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7" fillId="4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" fontId="7" fillId="2" borderId="8" xfId="0" applyNumberFormat="1" applyFont="1" applyFill="1" applyBorder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wrapText="1"/>
    </xf>
    <xf numFmtId="4" fontId="7" fillId="2" borderId="8" xfId="0" applyNumberFormat="1" applyFont="1" applyFill="1" applyBorder="1" applyAlignment="1">
      <alignment horizontal="center" wrapText="1"/>
    </xf>
    <xf numFmtId="3" fontId="12" fillId="2" borderId="8" xfId="0" applyNumberFormat="1" applyFont="1" applyFill="1" applyBorder="1" applyAlignment="1">
      <alignment horizontal="center" wrapText="1"/>
    </xf>
    <xf numFmtId="4" fontId="13" fillId="2" borderId="8" xfId="0" applyNumberFormat="1" applyFont="1" applyFill="1" applyBorder="1" applyAlignment="1">
      <alignment horizontal="center" wrapText="1"/>
    </xf>
    <xf numFmtId="3" fontId="14" fillId="2" borderId="8" xfId="0" applyNumberFormat="1" applyFont="1" applyFill="1" applyBorder="1" applyAlignment="1">
      <alignment horizontal="center" wrapText="1"/>
    </xf>
    <xf numFmtId="4" fontId="15" fillId="2" borderId="8" xfId="0" applyNumberFormat="1" applyFont="1" applyFill="1" applyBorder="1" applyAlignment="1">
      <alignment horizontal="center" wrapText="1"/>
    </xf>
    <xf numFmtId="166" fontId="7" fillId="2" borderId="8" xfId="0" applyNumberFormat="1" applyFont="1" applyFill="1" applyBorder="1" applyAlignment="1">
      <alignment horizontal="center" wrapText="1"/>
    </xf>
    <xf numFmtId="4" fontId="16" fillId="0" borderId="8" xfId="0" applyNumberFormat="1" applyFont="1" applyBorder="1" applyAlignment="1">
      <alignment horizontal="right"/>
    </xf>
    <xf numFmtId="4" fontId="17" fillId="0" borderId="8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4" fontId="4" fillId="0" borderId="8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4" fontId="7" fillId="0" borderId="8" xfId="0" applyNumberFormat="1" applyFont="1" applyBorder="1" applyAlignment="1">
      <alignment horizontal="right"/>
    </xf>
    <xf numFmtId="0" fontId="7" fillId="5" borderId="8" xfId="0" applyFont="1" applyFill="1" applyBorder="1" applyAlignment="1"/>
    <xf numFmtId="166" fontId="4" fillId="5" borderId="8" xfId="0" applyNumberFormat="1" applyFont="1" applyFill="1" applyBorder="1" applyAlignment="1"/>
    <xf numFmtId="4" fontId="4" fillId="5" borderId="8" xfId="0" applyNumberFormat="1" applyFont="1" applyFill="1" applyBorder="1" applyAlignment="1"/>
    <xf numFmtId="165" fontId="4" fillId="5" borderId="8" xfId="0" applyNumberFormat="1" applyFont="1" applyFill="1" applyBorder="1" applyAlignment="1"/>
    <xf numFmtId="0" fontId="20" fillId="8" borderId="2" xfId="0" applyFont="1" applyFill="1" applyBorder="1" applyAlignment="1"/>
    <xf numFmtId="0" fontId="21" fillId="8" borderId="2" xfId="0" applyFont="1" applyFill="1" applyBorder="1" applyAlignment="1">
      <alignment horizontal="left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776"/>
  <sheetViews>
    <sheetView zoomScale="75" zoomScaleNormal="75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T55" sqref="T55"/>
    </sheetView>
  </sheetViews>
  <sheetFormatPr defaultColWidth="14.42578125" defaultRowHeight="15" customHeight="1" outlineLevelRow="1" x14ac:dyDescent="0.25"/>
  <cols>
    <col min="1" max="1" width="13.5703125" customWidth="1"/>
    <col min="2" max="2" width="13" customWidth="1"/>
    <col min="3" max="3" width="11.28515625" customWidth="1"/>
    <col min="4" max="4" width="17" customWidth="1"/>
    <col min="5" max="5" width="10.7109375" customWidth="1"/>
    <col min="6" max="6" width="16.7109375" customWidth="1"/>
    <col min="7" max="7" width="13.42578125" customWidth="1"/>
    <col min="8" max="10" width="13.28515625" customWidth="1"/>
    <col min="11" max="11" width="9" customWidth="1"/>
    <col min="12" max="12" width="7" customWidth="1"/>
    <col min="13" max="13" width="9.140625" customWidth="1"/>
    <col min="14" max="14" width="9.42578125" customWidth="1"/>
    <col min="15" max="15" width="7" customWidth="1"/>
    <col min="16" max="16" width="9.140625" customWidth="1"/>
    <col min="17" max="17" width="14.85546875" customWidth="1"/>
    <col min="18" max="19" width="11" customWidth="1"/>
  </cols>
  <sheetData>
    <row r="1" spans="1:19" ht="21.75" customHeight="1" x14ac:dyDescent="0.25">
      <c r="A1" s="75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3"/>
      <c r="S1" s="1"/>
    </row>
    <row r="2" spans="1:19" ht="14.25" customHeight="1" x14ac:dyDescent="0.25">
      <c r="A2" s="76" t="s">
        <v>1</v>
      </c>
      <c r="B2" s="72" t="s">
        <v>2</v>
      </c>
      <c r="C2" s="77" t="s">
        <v>3</v>
      </c>
      <c r="D2" s="72" t="s">
        <v>4</v>
      </c>
      <c r="E2" s="72" t="s">
        <v>5</v>
      </c>
      <c r="F2" s="72" t="s">
        <v>6</v>
      </c>
      <c r="G2" s="72" t="s">
        <v>7</v>
      </c>
      <c r="H2" s="72" t="s">
        <v>8</v>
      </c>
      <c r="I2" s="72" t="s">
        <v>9</v>
      </c>
      <c r="J2" s="70" t="s">
        <v>10</v>
      </c>
      <c r="K2" s="72" t="s">
        <v>11</v>
      </c>
      <c r="L2" s="71"/>
      <c r="M2" s="71"/>
      <c r="N2" s="72" t="s">
        <v>12</v>
      </c>
      <c r="O2" s="71"/>
      <c r="P2" s="71"/>
      <c r="Q2" s="72" t="s">
        <v>13</v>
      </c>
      <c r="R2" s="74"/>
      <c r="S2" s="1"/>
    </row>
    <row r="3" spans="1:19" ht="30" collapsed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53" t="s">
        <v>11</v>
      </c>
      <c r="L3" s="53" t="s">
        <v>14</v>
      </c>
      <c r="M3" s="53" t="s">
        <v>15</v>
      </c>
      <c r="N3" s="53" t="s">
        <v>12</v>
      </c>
      <c r="O3" s="53" t="s">
        <v>14</v>
      </c>
      <c r="P3" s="53" t="s">
        <v>16</v>
      </c>
      <c r="Q3" s="71"/>
      <c r="R3" s="74"/>
      <c r="S3" s="1"/>
    </row>
    <row r="4" spans="1:19" ht="15.75" hidden="1" customHeight="1" outlineLevel="1" x14ac:dyDescent="0.25">
      <c r="A4" s="54">
        <v>45901</v>
      </c>
      <c r="B4" s="55"/>
      <c r="C4" s="56"/>
      <c r="D4" s="55"/>
      <c r="E4" s="55"/>
      <c r="F4" s="57">
        <f t="shared" ref="F4:F33" si="0">A4+180</f>
        <v>46081</v>
      </c>
      <c r="G4" s="58">
        <f t="shared" ref="G4:G16" si="1">B4-D4-E4</f>
        <v>0</v>
      </c>
      <c r="H4" s="55"/>
      <c r="I4" s="55"/>
      <c r="J4" s="55"/>
      <c r="K4" s="55"/>
      <c r="L4" s="55"/>
      <c r="M4" s="58">
        <f t="shared" ref="M4:M33" si="2">L4*5</f>
        <v>0</v>
      </c>
      <c r="N4" s="55"/>
      <c r="O4" s="55"/>
      <c r="P4" s="58">
        <f t="shared" ref="P4:P33" si="3">O4*50</f>
        <v>0</v>
      </c>
      <c r="Q4" s="59">
        <f>G4-H4-I4-K4-M4-N4-P4</f>
        <v>0</v>
      </c>
      <c r="R4" s="3" t="str">
        <f t="shared" ref="R4:R95" si="4">IFERROR(ROUND(D4/B4*100,2),"")</f>
        <v/>
      </c>
      <c r="S4" s="3" t="str">
        <f t="shared" ref="S4:S31" si="5">IFERROR(ROUND(E4/B4*100,2),"")</f>
        <v/>
      </c>
    </row>
    <row r="5" spans="1:19" ht="15.75" hidden="1" customHeight="1" outlineLevel="1" x14ac:dyDescent="0.25">
      <c r="A5" s="54">
        <v>45902</v>
      </c>
      <c r="B5" s="60"/>
      <c r="C5" s="61"/>
      <c r="D5" s="60"/>
      <c r="E5" s="55"/>
      <c r="F5" s="57">
        <f t="shared" si="0"/>
        <v>46082</v>
      </c>
      <c r="G5" s="58">
        <f t="shared" si="1"/>
        <v>0</v>
      </c>
      <c r="H5" s="55"/>
      <c r="I5" s="55"/>
      <c r="J5" s="55"/>
      <c r="K5" s="55"/>
      <c r="L5" s="55"/>
      <c r="M5" s="58">
        <f t="shared" si="2"/>
        <v>0</v>
      </c>
      <c r="N5" s="55"/>
      <c r="O5" s="55"/>
      <c r="P5" s="58">
        <f t="shared" si="3"/>
        <v>0</v>
      </c>
      <c r="Q5" s="59">
        <f>G5-H5-I5-K5-M5-N5-P5+Q4</f>
        <v>0</v>
      </c>
      <c r="R5" s="3" t="str">
        <f t="shared" si="4"/>
        <v/>
      </c>
      <c r="S5" s="3" t="str">
        <f t="shared" si="5"/>
        <v/>
      </c>
    </row>
    <row r="6" spans="1:19" ht="15.75" hidden="1" customHeight="1" outlineLevel="1" x14ac:dyDescent="0.25">
      <c r="A6" s="54">
        <v>45903</v>
      </c>
      <c r="B6" s="55"/>
      <c r="C6" s="56"/>
      <c r="D6" s="55"/>
      <c r="E6" s="55"/>
      <c r="F6" s="57">
        <f t="shared" si="0"/>
        <v>46083</v>
      </c>
      <c r="G6" s="58">
        <f t="shared" si="1"/>
        <v>0</v>
      </c>
      <c r="H6" s="55"/>
      <c r="I6" s="55"/>
      <c r="J6" s="55"/>
      <c r="K6" s="55"/>
      <c r="L6" s="55"/>
      <c r="M6" s="58">
        <f t="shared" si="2"/>
        <v>0</v>
      </c>
      <c r="N6" s="55"/>
      <c r="O6" s="55"/>
      <c r="P6" s="58">
        <f t="shared" si="3"/>
        <v>0</v>
      </c>
      <c r="Q6" s="59">
        <f t="shared" ref="Q6:Q33" si="6">Q5+G6-H6-I6-K6-M6-N6-P6</f>
        <v>0</v>
      </c>
      <c r="R6" s="3" t="str">
        <f t="shared" si="4"/>
        <v/>
      </c>
      <c r="S6" s="3" t="str">
        <f t="shared" si="5"/>
        <v/>
      </c>
    </row>
    <row r="7" spans="1:19" ht="15.75" hidden="1" customHeight="1" outlineLevel="1" x14ac:dyDescent="0.25">
      <c r="A7" s="54">
        <v>45904</v>
      </c>
      <c r="B7" s="55"/>
      <c r="C7" s="56"/>
      <c r="D7" s="55"/>
      <c r="E7" s="55"/>
      <c r="F7" s="57">
        <f t="shared" si="0"/>
        <v>46084</v>
      </c>
      <c r="G7" s="58">
        <f t="shared" si="1"/>
        <v>0</v>
      </c>
      <c r="H7" s="55"/>
      <c r="I7" s="55"/>
      <c r="J7" s="55"/>
      <c r="K7" s="55"/>
      <c r="L7" s="55"/>
      <c r="M7" s="58">
        <f t="shared" si="2"/>
        <v>0</v>
      </c>
      <c r="N7" s="55"/>
      <c r="O7" s="55"/>
      <c r="P7" s="58">
        <f t="shared" si="3"/>
        <v>0</v>
      </c>
      <c r="Q7" s="59">
        <f t="shared" si="6"/>
        <v>0</v>
      </c>
      <c r="R7" s="3" t="str">
        <f t="shared" si="4"/>
        <v/>
      </c>
      <c r="S7" s="3" t="str">
        <f t="shared" si="5"/>
        <v/>
      </c>
    </row>
    <row r="8" spans="1:19" ht="15.75" hidden="1" customHeight="1" outlineLevel="1" x14ac:dyDescent="0.25">
      <c r="A8" s="54">
        <v>45905</v>
      </c>
      <c r="B8" s="55"/>
      <c r="C8" s="56"/>
      <c r="D8" s="55"/>
      <c r="E8" s="55"/>
      <c r="F8" s="57">
        <f t="shared" si="0"/>
        <v>46085</v>
      </c>
      <c r="G8" s="58">
        <f t="shared" si="1"/>
        <v>0</v>
      </c>
      <c r="H8" s="55"/>
      <c r="I8" s="55"/>
      <c r="J8" s="55"/>
      <c r="K8" s="55"/>
      <c r="L8" s="55"/>
      <c r="M8" s="58">
        <f t="shared" si="2"/>
        <v>0</v>
      </c>
      <c r="N8" s="55"/>
      <c r="O8" s="55"/>
      <c r="P8" s="58">
        <f t="shared" si="3"/>
        <v>0</v>
      </c>
      <c r="Q8" s="59">
        <f t="shared" si="6"/>
        <v>0</v>
      </c>
      <c r="R8" s="3" t="str">
        <f t="shared" si="4"/>
        <v/>
      </c>
      <c r="S8" s="3" t="str">
        <f t="shared" si="5"/>
        <v/>
      </c>
    </row>
    <row r="9" spans="1:19" ht="15.75" hidden="1" customHeight="1" outlineLevel="1" x14ac:dyDescent="0.25">
      <c r="A9" s="54">
        <v>45906</v>
      </c>
      <c r="B9" s="55"/>
      <c r="C9" s="56"/>
      <c r="D9" s="55"/>
      <c r="E9" s="55"/>
      <c r="F9" s="57">
        <f t="shared" si="0"/>
        <v>46086</v>
      </c>
      <c r="G9" s="58">
        <f t="shared" si="1"/>
        <v>0</v>
      </c>
      <c r="H9" s="55"/>
      <c r="I9" s="55"/>
      <c r="J9" s="55"/>
      <c r="K9" s="55"/>
      <c r="L9" s="55"/>
      <c r="M9" s="58">
        <f t="shared" si="2"/>
        <v>0</v>
      </c>
      <c r="N9" s="55"/>
      <c r="O9" s="55"/>
      <c r="P9" s="58">
        <f t="shared" si="3"/>
        <v>0</v>
      </c>
      <c r="Q9" s="59">
        <f t="shared" si="6"/>
        <v>0</v>
      </c>
      <c r="R9" s="3" t="str">
        <f t="shared" si="4"/>
        <v/>
      </c>
      <c r="S9" s="3" t="str">
        <f t="shared" si="5"/>
        <v/>
      </c>
    </row>
    <row r="10" spans="1:19" ht="15.75" hidden="1" customHeight="1" outlineLevel="1" x14ac:dyDescent="0.25">
      <c r="A10" s="54">
        <v>45907</v>
      </c>
      <c r="B10" s="55"/>
      <c r="C10" s="56"/>
      <c r="D10" s="55"/>
      <c r="E10" s="55"/>
      <c r="F10" s="57">
        <f t="shared" si="0"/>
        <v>46087</v>
      </c>
      <c r="G10" s="58">
        <f t="shared" si="1"/>
        <v>0</v>
      </c>
      <c r="H10" s="55"/>
      <c r="I10" s="55"/>
      <c r="J10" s="55"/>
      <c r="K10" s="55"/>
      <c r="L10" s="55"/>
      <c r="M10" s="58">
        <f t="shared" si="2"/>
        <v>0</v>
      </c>
      <c r="N10" s="55"/>
      <c r="O10" s="55"/>
      <c r="P10" s="58">
        <f t="shared" si="3"/>
        <v>0</v>
      </c>
      <c r="Q10" s="59">
        <f t="shared" si="6"/>
        <v>0</v>
      </c>
      <c r="R10" s="3" t="str">
        <f t="shared" si="4"/>
        <v/>
      </c>
      <c r="S10" s="3" t="str">
        <f t="shared" si="5"/>
        <v/>
      </c>
    </row>
    <row r="11" spans="1:19" ht="15.75" hidden="1" customHeight="1" outlineLevel="1" x14ac:dyDescent="0.25">
      <c r="A11" s="54">
        <v>45908</v>
      </c>
      <c r="B11" s="55"/>
      <c r="C11" s="56"/>
      <c r="D11" s="55"/>
      <c r="E11" s="55"/>
      <c r="F11" s="57">
        <f t="shared" si="0"/>
        <v>46088</v>
      </c>
      <c r="G11" s="58">
        <f t="shared" si="1"/>
        <v>0</v>
      </c>
      <c r="H11" s="55"/>
      <c r="I11" s="55"/>
      <c r="J11" s="55"/>
      <c r="K11" s="55"/>
      <c r="L11" s="55"/>
      <c r="M11" s="58">
        <f t="shared" si="2"/>
        <v>0</v>
      </c>
      <c r="N11" s="55"/>
      <c r="O11" s="55"/>
      <c r="P11" s="58">
        <f t="shared" si="3"/>
        <v>0</v>
      </c>
      <c r="Q11" s="59">
        <f t="shared" si="6"/>
        <v>0</v>
      </c>
      <c r="R11" s="3" t="str">
        <f t="shared" si="4"/>
        <v/>
      </c>
      <c r="S11" s="3" t="str">
        <f t="shared" si="5"/>
        <v/>
      </c>
    </row>
    <row r="12" spans="1:19" ht="15.75" hidden="1" customHeight="1" outlineLevel="1" x14ac:dyDescent="0.25">
      <c r="A12" s="54">
        <v>45909</v>
      </c>
      <c r="B12" s="55"/>
      <c r="C12" s="56"/>
      <c r="D12" s="55"/>
      <c r="E12" s="55"/>
      <c r="F12" s="57">
        <f t="shared" si="0"/>
        <v>46089</v>
      </c>
      <c r="G12" s="58">
        <f t="shared" si="1"/>
        <v>0</v>
      </c>
      <c r="H12" s="55"/>
      <c r="I12" s="55"/>
      <c r="J12" s="55"/>
      <c r="K12" s="55"/>
      <c r="L12" s="55"/>
      <c r="M12" s="58">
        <f t="shared" si="2"/>
        <v>0</v>
      </c>
      <c r="N12" s="55"/>
      <c r="O12" s="55"/>
      <c r="P12" s="58">
        <f t="shared" si="3"/>
        <v>0</v>
      </c>
      <c r="Q12" s="59">
        <f t="shared" si="6"/>
        <v>0</v>
      </c>
      <c r="R12" s="3" t="str">
        <f t="shared" si="4"/>
        <v/>
      </c>
      <c r="S12" s="3" t="str">
        <f t="shared" si="5"/>
        <v/>
      </c>
    </row>
    <row r="13" spans="1:19" ht="15.75" hidden="1" customHeight="1" outlineLevel="1" x14ac:dyDescent="0.25">
      <c r="A13" s="54">
        <v>45910</v>
      </c>
      <c r="B13" s="55">
        <v>1</v>
      </c>
      <c r="C13" s="56">
        <v>1</v>
      </c>
      <c r="D13" s="55">
        <v>0.04</v>
      </c>
      <c r="E13" s="55">
        <v>0.1</v>
      </c>
      <c r="F13" s="57">
        <f t="shared" si="0"/>
        <v>46090</v>
      </c>
      <c r="G13" s="58">
        <f t="shared" si="1"/>
        <v>0.86</v>
      </c>
      <c r="H13" s="55"/>
      <c r="I13" s="55"/>
      <c r="J13" s="55"/>
      <c r="K13" s="55">
        <v>1</v>
      </c>
      <c r="L13" s="55">
        <v>1</v>
      </c>
      <c r="M13" s="58">
        <f t="shared" si="2"/>
        <v>5</v>
      </c>
      <c r="N13" s="55"/>
      <c r="O13" s="55"/>
      <c r="P13" s="58">
        <f t="shared" si="3"/>
        <v>0</v>
      </c>
      <c r="Q13" s="59">
        <f t="shared" si="6"/>
        <v>-5.14</v>
      </c>
      <c r="R13" s="3">
        <f t="shared" si="4"/>
        <v>4</v>
      </c>
      <c r="S13" s="3">
        <f t="shared" si="5"/>
        <v>10</v>
      </c>
    </row>
    <row r="14" spans="1:19" ht="15.75" hidden="1" customHeight="1" outlineLevel="1" x14ac:dyDescent="0.25">
      <c r="A14" s="54">
        <v>45911</v>
      </c>
      <c r="B14" s="55"/>
      <c r="C14" s="56"/>
      <c r="D14" s="55"/>
      <c r="E14" s="55"/>
      <c r="F14" s="57">
        <f t="shared" si="0"/>
        <v>46091</v>
      </c>
      <c r="G14" s="58">
        <f t="shared" si="1"/>
        <v>0</v>
      </c>
      <c r="H14" s="55"/>
      <c r="I14" s="55"/>
      <c r="J14" s="55"/>
      <c r="K14" s="55"/>
      <c r="L14" s="55"/>
      <c r="M14" s="58">
        <f t="shared" si="2"/>
        <v>0</v>
      </c>
      <c r="N14" s="55"/>
      <c r="O14" s="55"/>
      <c r="P14" s="58">
        <f t="shared" si="3"/>
        <v>0</v>
      </c>
      <c r="Q14" s="59">
        <f t="shared" si="6"/>
        <v>-5.14</v>
      </c>
      <c r="R14" s="3" t="str">
        <f t="shared" si="4"/>
        <v/>
      </c>
      <c r="S14" s="3" t="str">
        <f t="shared" si="5"/>
        <v/>
      </c>
    </row>
    <row r="15" spans="1:19" ht="15.75" hidden="1" customHeight="1" outlineLevel="1" x14ac:dyDescent="0.25">
      <c r="A15" s="54">
        <v>45912</v>
      </c>
      <c r="B15" s="55"/>
      <c r="C15" s="56"/>
      <c r="D15" s="55"/>
      <c r="E15" s="55"/>
      <c r="F15" s="57">
        <f t="shared" si="0"/>
        <v>46092</v>
      </c>
      <c r="G15" s="58">
        <f t="shared" si="1"/>
        <v>0</v>
      </c>
      <c r="H15" s="55"/>
      <c r="I15" s="55"/>
      <c r="J15" s="55"/>
      <c r="K15" s="55"/>
      <c r="L15" s="55"/>
      <c r="M15" s="58">
        <f t="shared" si="2"/>
        <v>0</v>
      </c>
      <c r="N15" s="55"/>
      <c r="O15" s="55"/>
      <c r="P15" s="58">
        <f t="shared" si="3"/>
        <v>0</v>
      </c>
      <c r="Q15" s="59">
        <f t="shared" si="6"/>
        <v>-5.14</v>
      </c>
      <c r="R15" s="3" t="str">
        <f t="shared" si="4"/>
        <v/>
      </c>
      <c r="S15" s="3" t="str">
        <f t="shared" si="5"/>
        <v/>
      </c>
    </row>
    <row r="16" spans="1:19" ht="15.75" hidden="1" customHeight="1" outlineLevel="1" x14ac:dyDescent="0.25">
      <c r="A16" s="54">
        <v>45913</v>
      </c>
      <c r="B16" s="55"/>
      <c r="C16" s="56"/>
      <c r="D16" s="55"/>
      <c r="E16" s="55"/>
      <c r="F16" s="57">
        <f t="shared" si="0"/>
        <v>46093</v>
      </c>
      <c r="G16" s="58">
        <f t="shared" si="1"/>
        <v>0</v>
      </c>
      <c r="H16" s="55"/>
      <c r="I16" s="55"/>
      <c r="J16" s="55"/>
      <c r="K16" s="55"/>
      <c r="L16" s="55"/>
      <c r="M16" s="58">
        <f t="shared" si="2"/>
        <v>0</v>
      </c>
      <c r="N16" s="55"/>
      <c r="O16" s="55"/>
      <c r="P16" s="58">
        <f t="shared" si="3"/>
        <v>0</v>
      </c>
      <c r="Q16" s="59">
        <f t="shared" si="6"/>
        <v>-5.14</v>
      </c>
      <c r="R16" s="3" t="str">
        <f t="shared" si="4"/>
        <v/>
      </c>
      <c r="S16" s="3" t="str">
        <f t="shared" si="5"/>
        <v/>
      </c>
    </row>
    <row r="17" spans="1:19" ht="15.75" hidden="1" customHeight="1" outlineLevel="1" x14ac:dyDescent="0.25">
      <c r="A17" s="54">
        <v>45914</v>
      </c>
      <c r="B17" s="55"/>
      <c r="C17" s="56"/>
      <c r="D17" s="55"/>
      <c r="E17" s="55"/>
      <c r="F17" s="57">
        <f t="shared" si="0"/>
        <v>46094</v>
      </c>
      <c r="G17" s="58">
        <f>B17-D17</f>
        <v>0</v>
      </c>
      <c r="H17" s="55"/>
      <c r="I17" s="55"/>
      <c r="J17" s="55"/>
      <c r="K17" s="55"/>
      <c r="L17" s="55"/>
      <c r="M17" s="58">
        <f t="shared" si="2"/>
        <v>0</v>
      </c>
      <c r="N17" s="55"/>
      <c r="O17" s="55"/>
      <c r="P17" s="58">
        <f t="shared" si="3"/>
        <v>0</v>
      </c>
      <c r="Q17" s="59">
        <f t="shared" si="6"/>
        <v>-5.14</v>
      </c>
      <c r="R17" s="3" t="str">
        <f t="shared" si="4"/>
        <v/>
      </c>
      <c r="S17" s="3" t="str">
        <f t="shared" si="5"/>
        <v/>
      </c>
    </row>
    <row r="18" spans="1:19" ht="15.75" hidden="1" customHeight="1" outlineLevel="1" x14ac:dyDescent="0.25">
      <c r="A18" s="54">
        <v>45915</v>
      </c>
      <c r="B18" s="55"/>
      <c r="C18" s="56"/>
      <c r="D18" s="55"/>
      <c r="E18" s="55"/>
      <c r="F18" s="57">
        <f t="shared" si="0"/>
        <v>46095</v>
      </c>
      <c r="G18" s="58">
        <f t="shared" ref="G18:G33" si="7">B18-D18-E18</f>
        <v>0</v>
      </c>
      <c r="H18" s="55"/>
      <c r="I18" s="55"/>
      <c r="J18" s="55"/>
      <c r="K18" s="55"/>
      <c r="L18" s="55"/>
      <c r="M18" s="58">
        <f t="shared" si="2"/>
        <v>0</v>
      </c>
      <c r="N18" s="55"/>
      <c r="O18" s="55"/>
      <c r="P18" s="58">
        <f t="shared" si="3"/>
        <v>0</v>
      </c>
      <c r="Q18" s="59">
        <f t="shared" si="6"/>
        <v>-5.14</v>
      </c>
      <c r="R18" s="3" t="str">
        <f t="shared" si="4"/>
        <v/>
      </c>
      <c r="S18" s="3" t="str">
        <f t="shared" si="5"/>
        <v/>
      </c>
    </row>
    <row r="19" spans="1:19" ht="15.75" hidden="1" customHeight="1" outlineLevel="1" x14ac:dyDescent="0.25">
      <c r="A19" s="54">
        <v>45916</v>
      </c>
      <c r="B19" s="55"/>
      <c r="C19" s="56"/>
      <c r="D19" s="55"/>
      <c r="E19" s="55"/>
      <c r="F19" s="57">
        <f t="shared" si="0"/>
        <v>46096</v>
      </c>
      <c r="G19" s="58">
        <f t="shared" si="7"/>
        <v>0</v>
      </c>
      <c r="H19" s="55"/>
      <c r="I19" s="55"/>
      <c r="J19" s="55"/>
      <c r="K19" s="55"/>
      <c r="L19" s="55"/>
      <c r="M19" s="58">
        <f t="shared" si="2"/>
        <v>0</v>
      </c>
      <c r="N19" s="55"/>
      <c r="O19" s="55"/>
      <c r="P19" s="58">
        <f t="shared" si="3"/>
        <v>0</v>
      </c>
      <c r="Q19" s="59">
        <f t="shared" si="6"/>
        <v>-5.14</v>
      </c>
      <c r="R19" s="3" t="str">
        <f t="shared" si="4"/>
        <v/>
      </c>
      <c r="S19" s="3" t="str">
        <f t="shared" si="5"/>
        <v/>
      </c>
    </row>
    <row r="20" spans="1:19" ht="15.75" hidden="1" customHeight="1" outlineLevel="1" x14ac:dyDescent="0.25">
      <c r="A20" s="54">
        <v>45917</v>
      </c>
      <c r="B20" s="55"/>
      <c r="C20" s="56"/>
      <c r="D20" s="55"/>
      <c r="E20" s="55"/>
      <c r="F20" s="57">
        <f t="shared" si="0"/>
        <v>46097</v>
      </c>
      <c r="G20" s="58">
        <f t="shared" si="7"/>
        <v>0</v>
      </c>
      <c r="H20" s="55"/>
      <c r="I20" s="55"/>
      <c r="J20" s="55"/>
      <c r="K20" s="55"/>
      <c r="L20" s="55"/>
      <c r="M20" s="58">
        <f t="shared" si="2"/>
        <v>0</v>
      </c>
      <c r="N20" s="55"/>
      <c r="O20" s="55"/>
      <c r="P20" s="58">
        <f t="shared" si="3"/>
        <v>0</v>
      </c>
      <c r="Q20" s="59">
        <f t="shared" si="6"/>
        <v>-5.14</v>
      </c>
      <c r="R20" s="3" t="str">
        <f t="shared" si="4"/>
        <v/>
      </c>
      <c r="S20" s="3" t="str">
        <f t="shared" si="5"/>
        <v/>
      </c>
    </row>
    <row r="21" spans="1:19" ht="15.75" hidden="1" customHeight="1" outlineLevel="1" x14ac:dyDescent="0.25">
      <c r="A21" s="54">
        <v>45918</v>
      </c>
      <c r="B21" s="55"/>
      <c r="C21" s="56"/>
      <c r="D21" s="55"/>
      <c r="E21" s="55"/>
      <c r="F21" s="57">
        <f t="shared" si="0"/>
        <v>46098</v>
      </c>
      <c r="G21" s="58">
        <f t="shared" si="7"/>
        <v>0</v>
      </c>
      <c r="H21" s="55"/>
      <c r="I21" s="55"/>
      <c r="J21" s="55"/>
      <c r="K21" s="55"/>
      <c r="L21" s="55"/>
      <c r="M21" s="58">
        <f t="shared" si="2"/>
        <v>0</v>
      </c>
      <c r="N21" s="55"/>
      <c r="O21" s="55"/>
      <c r="P21" s="58">
        <f t="shared" si="3"/>
        <v>0</v>
      </c>
      <c r="Q21" s="59">
        <f t="shared" si="6"/>
        <v>-5.14</v>
      </c>
      <c r="R21" s="3" t="str">
        <f t="shared" si="4"/>
        <v/>
      </c>
      <c r="S21" s="3" t="str">
        <f t="shared" si="5"/>
        <v/>
      </c>
    </row>
    <row r="22" spans="1:19" ht="15.75" hidden="1" customHeight="1" outlineLevel="1" x14ac:dyDescent="0.25">
      <c r="A22" s="54">
        <v>45919</v>
      </c>
      <c r="B22" s="58"/>
      <c r="C22" s="62"/>
      <c r="D22" s="58"/>
      <c r="E22" s="58"/>
      <c r="F22" s="57">
        <f t="shared" si="0"/>
        <v>46099</v>
      </c>
      <c r="G22" s="58">
        <f t="shared" si="7"/>
        <v>0</v>
      </c>
      <c r="H22" s="55"/>
      <c r="I22" s="55"/>
      <c r="J22" s="55"/>
      <c r="K22" s="55"/>
      <c r="L22" s="55"/>
      <c r="M22" s="58">
        <f t="shared" si="2"/>
        <v>0</v>
      </c>
      <c r="N22" s="55"/>
      <c r="O22" s="55"/>
      <c r="P22" s="58">
        <f t="shared" si="3"/>
        <v>0</v>
      </c>
      <c r="Q22" s="59">
        <f t="shared" si="6"/>
        <v>-5.14</v>
      </c>
      <c r="R22" s="6" t="str">
        <f t="shared" si="4"/>
        <v/>
      </c>
      <c r="S22" s="6" t="str">
        <f t="shared" si="5"/>
        <v/>
      </c>
    </row>
    <row r="23" spans="1:19" ht="15.75" hidden="1" customHeight="1" outlineLevel="1" x14ac:dyDescent="0.25">
      <c r="A23" s="54">
        <v>45920</v>
      </c>
      <c r="B23" s="58"/>
      <c r="C23" s="62"/>
      <c r="D23" s="58"/>
      <c r="E23" s="58"/>
      <c r="F23" s="57">
        <f t="shared" si="0"/>
        <v>46100</v>
      </c>
      <c r="G23" s="58">
        <f t="shared" si="7"/>
        <v>0</v>
      </c>
      <c r="H23" s="55"/>
      <c r="I23" s="55"/>
      <c r="J23" s="55"/>
      <c r="K23" s="55"/>
      <c r="L23" s="55"/>
      <c r="M23" s="58">
        <f t="shared" si="2"/>
        <v>0</v>
      </c>
      <c r="N23" s="55"/>
      <c r="O23" s="55"/>
      <c r="P23" s="58">
        <f t="shared" si="3"/>
        <v>0</v>
      </c>
      <c r="Q23" s="59">
        <f t="shared" si="6"/>
        <v>-5.14</v>
      </c>
      <c r="R23" s="6" t="str">
        <f t="shared" si="4"/>
        <v/>
      </c>
      <c r="S23" s="6" t="str">
        <f t="shared" si="5"/>
        <v/>
      </c>
    </row>
    <row r="24" spans="1:19" ht="15.75" hidden="1" customHeight="1" outlineLevel="1" x14ac:dyDescent="0.25">
      <c r="A24" s="54">
        <v>45921</v>
      </c>
      <c r="B24" s="58"/>
      <c r="C24" s="62"/>
      <c r="D24" s="58"/>
      <c r="E24" s="58"/>
      <c r="F24" s="57">
        <f t="shared" si="0"/>
        <v>46101</v>
      </c>
      <c r="G24" s="58">
        <f t="shared" si="7"/>
        <v>0</v>
      </c>
      <c r="H24" s="55"/>
      <c r="I24" s="55"/>
      <c r="J24" s="55"/>
      <c r="K24" s="55"/>
      <c r="L24" s="55"/>
      <c r="M24" s="58">
        <f t="shared" si="2"/>
        <v>0</v>
      </c>
      <c r="N24" s="55"/>
      <c r="O24" s="55"/>
      <c r="P24" s="58">
        <f t="shared" si="3"/>
        <v>0</v>
      </c>
      <c r="Q24" s="59">
        <f t="shared" si="6"/>
        <v>-5.14</v>
      </c>
      <c r="R24" s="6" t="str">
        <f t="shared" si="4"/>
        <v/>
      </c>
      <c r="S24" s="6" t="str">
        <f t="shared" si="5"/>
        <v/>
      </c>
    </row>
    <row r="25" spans="1:19" ht="15.75" hidden="1" customHeight="1" outlineLevel="1" x14ac:dyDescent="0.25">
      <c r="A25" s="54">
        <v>45922</v>
      </c>
      <c r="B25" s="58"/>
      <c r="C25" s="62"/>
      <c r="D25" s="58"/>
      <c r="E25" s="58"/>
      <c r="F25" s="57">
        <f t="shared" si="0"/>
        <v>46102</v>
      </c>
      <c r="G25" s="58">
        <f t="shared" si="7"/>
        <v>0</v>
      </c>
      <c r="H25" s="55"/>
      <c r="I25" s="55"/>
      <c r="J25" s="55"/>
      <c r="K25" s="55"/>
      <c r="L25" s="55"/>
      <c r="M25" s="58">
        <f t="shared" si="2"/>
        <v>0</v>
      </c>
      <c r="N25" s="55"/>
      <c r="O25" s="55"/>
      <c r="P25" s="58">
        <f t="shared" si="3"/>
        <v>0</v>
      </c>
      <c r="Q25" s="59">
        <f t="shared" si="6"/>
        <v>-5.14</v>
      </c>
      <c r="R25" s="6" t="str">
        <f t="shared" si="4"/>
        <v/>
      </c>
      <c r="S25" s="6" t="str">
        <f t="shared" si="5"/>
        <v/>
      </c>
    </row>
    <row r="26" spans="1:19" ht="15.75" hidden="1" customHeight="1" outlineLevel="1" x14ac:dyDescent="0.25">
      <c r="A26" s="54">
        <v>45923</v>
      </c>
      <c r="B26" s="58"/>
      <c r="C26" s="62"/>
      <c r="D26" s="58"/>
      <c r="E26" s="58"/>
      <c r="F26" s="57">
        <f t="shared" si="0"/>
        <v>46103</v>
      </c>
      <c r="G26" s="58">
        <f t="shared" si="7"/>
        <v>0</v>
      </c>
      <c r="H26" s="58"/>
      <c r="I26" s="55"/>
      <c r="J26" s="55"/>
      <c r="K26" s="55"/>
      <c r="L26" s="55"/>
      <c r="M26" s="58">
        <f t="shared" si="2"/>
        <v>0</v>
      </c>
      <c r="N26" s="55"/>
      <c r="O26" s="55"/>
      <c r="P26" s="58">
        <f t="shared" si="3"/>
        <v>0</v>
      </c>
      <c r="Q26" s="59">
        <f t="shared" si="6"/>
        <v>-5.14</v>
      </c>
      <c r="R26" s="6" t="str">
        <f t="shared" si="4"/>
        <v/>
      </c>
      <c r="S26" s="6" t="str">
        <f t="shared" si="5"/>
        <v/>
      </c>
    </row>
    <row r="27" spans="1:19" ht="15.75" hidden="1" customHeight="1" outlineLevel="1" x14ac:dyDescent="0.25">
      <c r="A27" s="54">
        <v>45924</v>
      </c>
      <c r="B27" s="58"/>
      <c r="C27" s="62"/>
      <c r="D27" s="58"/>
      <c r="E27" s="58"/>
      <c r="F27" s="57">
        <f t="shared" si="0"/>
        <v>46104</v>
      </c>
      <c r="G27" s="58">
        <f t="shared" si="7"/>
        <v>0</v>
      </c>
      <c r="H27" s="58"/>
      <c r="I27" s="55"/>
      <c r="J27" s="55"/>
      <c r="K27" s="55"/>
      <c r="L27" s="55"/>
      <c r="M27" s="58">
        <f t="shared" si="2"/>
        <v>0</v>
      </c>
      <c r="N27" s="55"/>
      <c r="O27" s="55"/>
      <c r="P27" s="58">
        <f t="shared" si="3"/>
        <v>0</v>
      </c>
      <c r="Q27" s="59">
        <f t="shared" si="6"/>
        <v>-5.14</v>
      </c>
      <c r="R27" s="6" t="str">
        <f t="shared" si="4"/>
        <v/>
      </c>
      <c r="S27" s="6" t="str">
        <f t="shared" si="5"/>
        <v/>
      </c>
    </row>
    <row r="28" spans="1:19" ht="15.75" hidden="1" customHeight="1" outlineLevel="1" x14ac:dyDescent="0.25">
      <c r="A28" s="54">
        <v>45925</v>
      </c>
      <c r="B28" s="58"/>
      <c r="C28" s="62"/>
      <c r="D28" s="58"/>
      <c r="E28" s="58"/>
      <c r="F28" s="57">
        <f t="shared" si="0"/>
        <v>46105</v>
      </c>
      <c r="G28" s="58">
        <f t="shared" si="7"/>
        <v>0</v>
      </c>
      <c r="H28" s="58"/>
      <c r="I28" s="55"/>
      <c r="J28" s="55"/>
      <c r="K28" s="55"/>
      <c r="L28" s="55"/>
      <c r="M28" s="58">
        <f t="shared" si="2"/>
        <v>0</v>
      </c>
      <c r="N28" s="55"/>
      <c r="O28" s="55"/>
      <c r="P28" s="58">
        <f t="shared" si="3"/>
        <v>0</v>
      </c>
      <c r="Q28" s="59">
        <f t="shared" si="6"/>
        <v>-5.14</v>
      </c>
      <c r="R28" s="6" t="str">
        <f t="shared" si="4"/>
        <v/>
      </c>
      <c r="S28" s="6" t="str">
        <f t="shared" si="5"/>
        <v/>
      </c>
    </row>
    <row r="29" spans="1:19" ht="15.75" hidden="1" customHeight="1" outlineLevel="1" x14ac:dyDescent="0.25">
      <c r="A29" s="54">
        <v>45926</v>
      </c>
      <c r="B29" s="58"/>
      <c r="C29" s="62"/>
      <c r="D29" s="58"/>
      <c r="E29" s="58"/>
      <c r="F29" s="57">
        <f t="shared" si="0"/>
        <v>46106</v>
      </c>
      <c r="G29" s="58">
        <f t="shared" si="7"/>
        <v>0</v>
      </c>
      <c r="H29" s="55"/>
      <c r="I29" s="55"/>
      <c r="J29" s="55"/>
      <c r="K29" s="55"/>
      <c r="L29" s="55"/>
      <c r="M29" s="58">
        <f t="shared" si="2"/>
        <v>0</v>
      </c>
      <c r="N29" s="55"/>
      <c r="O29" s="55"/>
      <c r="P29" s="58">
        <f t="shared" si="3"/>
        <v>0</v>
      </c>
      <c r="Q29" s="59">
        <f t="shared" si="6"/>
        <v>-5.14</v>
      </c>
      <c r="R29" s="6" t="str">
        <f t="shared" si="4"/>
        <v/>
      </c>
      <c r="S29" s="6" t="str">
        <f t="shared" si="5"/>
        <v/>
      </c>
    </row>
    <row r="30" spans="1:19" ht="15.75" hidden="1" customHeight="1" outlineLevel="1" x14ac:dyDescent="0.25">
      <c r="A30" s="54">
        <v>45927</v>
      </c>
      <c r="B30" s="58"/>
      <c r="C30" s="63"/>
      <c r="D30" s="58"/>
      <c r="E30" s="58"/>
      <c r="F30" s="57">
        <f t="shared" si="0"/>
        <v>46107</v>
      </c>
      <c r="G30" s="58">
        <f t="shared" si="7"/>
        <v>0</v>
      </c>
      <c r="H30" s="55"/>
      <c r="I30" s="55"/>
      <c r="J30" s="55"/>
      <c r="K30" s="55"/>
      <c r="L30" s="55"/>
      <c r="M30" s="58">
        <f t="shared" si="2"/>
        <v>0</v>
      </c>
      <c r="N30" s="55"/>
      <c r="O30" s="55"/>
      <c r="P30" s="58">
        <f t="shared" si="3"/>
        <v>0</v>
      </c>
      <c r="Q30" s="59">
        <f t="shared" si="6"/>
        <v>-5.14</v>
      </c>
      <c r="R30" s="7" t="str">
        <f t="shared" si="4"/>
        <v/>
      </c>
      <c r="S30" s="7" t="str">
        <f t="shared" si="5"/>
        <v/>
      </c>
    </row>
    <row r="31" spans="1:19" ht="15.75" hidden="1" customHeight="1" outlineLevel="1" x14ac:dyDescent="0.25">
      <c r="A31" s="54">
        <v>45928</v>
      </c>
      <c r="B31" s="58"/>
      <c r="C31" s="63"/>
      <c r="D31" s="58"/>
      <c r="E31" s="58"/>
      <c r="F31" s="57">
        <f t="shared" si="0"/>
        <v>46108</v>
      </c>
      <c r="G31" s="58">
        <f t="shared" si="7"/>
        <v>0</v>
      </c>
      <c r="H31" s="58">
        <f>Settl!C60</f>
        <v>0</v>
      </c>
      <c r="I31" s="55"/>
      <c r="J31" s="55"/>
      <c r="K31" s="55"/>
      <c r="L31" s="55"/>
      <c r="M31" s="58">
        <f t="shared" si="2"/>
        <v>0</v>
      </c>
      <c r="N31" s="55"/>
      <c r="O31" s="55"/>
      <c r="P31" s="58">
        <f t="shared" si="3"/>
        <v>0</v>
      </c>
      <c r="Q31" s="59">
        <f t="shared" si="6"/>
        <v>-5.14</v>
      </c>
      <c r="R31" s="7" t="str">
        <f t="shared" si="4"/>
        <v/>
      </c>
      <c r="S31" s="7" t="str">
        <f t="shared" si="5"/>
        <v/>
      </c>
    </row>
    <row r="32" spans="1:19" ht="15.75" hidden="1" customHeight="1" outlineLevel="1" x14ac:dyDescent="0.25">
      <c r="A32" s="54">
        <v>45929</v>
      </c>
      <c r="B32" s="58"/>
      <c r="C32" s="63"/>
      <c r="D32" s="58"/>
      <c r="E32" s="58"/>
      <c r="F32" s="57">
        <f t="shared" si="0"/>
        <v>46109</v>
      </c>
      <c r="G32" s="58">
        <f t="shared" si="7"/>
        <v>0</v>
      </c>
      <c r="H32" s="58">
        <f>Settl!C61</f>
        <v>0</v>
      </c>
      <c r="I32" s="55"/>
      <c r="J32" s="55"/>
      <c r="K32" s="55"/>
      <c r="L32" s="55"/>
      <c r="M32" s="58">
        <f t="shared" si="2"/>
        <v>0</v>
      </c>
      <c r="N32" s="55"/>
      <c r="O32" s="55"/>
      <c r="P32" s="58">
        <f t="shared" si="3"/>
        <v>0</v>
      </c>
      <c r="Q32" s="59">
        <f t="shared" si="6"/>
        <v>-5.14</v>
      </c>
      <c r="R32" s="7" t="str">
        <f t="shared" si="4"/>
        <v/>
      </c>
      <c r="S32" s="3"/>
    </row>
    <row r="33" spans="1:19" ht="15.75" hidden="1" customHeight="1" outlineLevel="1" x14ac:dyDescent="0.25">
      <c r="A33" s="54">
        <v>45930</v>
      </c>
      <c r="B33" s="58"/>
      <c r="C33" s="63"/>
      <c r="D33" s="58"/>
      <c r="E33" s="58"/>
      <c r="F33" s="57">
        <f t="shared" si="0"/>
        <v>46110</v>
      </c>
      <c r="G33" s="58">
        <f t="shared" si="7"/>
        <v>0</v>
      </c>
      <c r="H33" s="58">
        <f>Settl!C62</f>
        <v>0</v>
      </c>
      <c r="I33" s="55"/>
      <c r="J33" s="55"/>
      <c r="K33" s="55"/>
      <c r="L33" s="55"/>
      <c r="M33" s="58">
        <f t="shared" si="2"/>
        <v>0</v>
      </c>
      <c r="N33" s="55"/>
      <c r="O33" s="55"/>
      <c r="P33" s="58">
        <f t="shared" si="3"/>
        <v>0</v>
      </c>
      <c r="Q33" s="59">
        <f t="shared" si="6"/>
        <v>-5.14</v>
      </c>
      <c r="R33" s="7" t="str">
        <f t="shared" si="4"/>
        <v/>
      </c>
      <c r="S33" s="3"/>
    </row>
    <row r="34" spans="1:19" ht="15.75" customHeight="1" x14ac:dyDescent="0.25">
      <c r="A34" s="64" t="s">
        <v>17</v>
      </c>
      <c r="B34" s="65">
        <f t="shared" ref="B34:E34" si="8">SUM(B4:B33)</f>
        <v>1</v>
      </c>
      <c r="C34" s="65">
        <f t="shared" si="8"/>
        <v>1</v>
      </c>
      <c r="D34" s="65">
        <f t="shared" si="8"/>
        <v>0.04</v>
      </c>
      <c r="E34" s="65">
        <f t="shared" si="8"/>
        <v>0.1</v>
      </c>
      <c r="F34" s="66"/>
      <c r="G34" s="65">
        <f t="shared" ref="G34:P34" si="9">SUM(G4:G33)</f>
        <v>0.86</v>
      </c>
      <c r="H34" s="65">
        <f t="shared" si="9"/>
        <v>0</v>
      </c>
      <c r="I34" s="65">
        <f t="shared" si="9"/>
        <v>0</v>
      </c>
      <c r="J34" s="65">
        <f t="shared" si="9"/>
        <v>0</v>
      </c>
      <c r="K34" s="65">
        <f t="shared" si="9"/>
        <v>1</v>
      </c>
      <c r="L34" s="65">
        <f t="shared" si="9"/>
        <v>1</v>
      </c>
      <c r="M34" s="65">
        <f t="shared" si="9"/>
        <v>5</v>
      </c>
      <c r="N34" s="65">
        <f t="shared" si="9"/>
        <v>0</v>
      </c>
      <c r="O34" s="65">
        <f t="shared" si="9"/>
        <v>0</v>
      </c>
      <c r="P34" s="65">
        <f t="shared" si="9"/>
        <v>0</v>
      </c>
      <c r="Q34" s="67">
        <f>G34-H34-I34-K34-M34-N34-P34</f>
        <v>-5.14</v>
      </c>
      <c r="R34" s="6">
        <f t="shared" si="4"/>
        <v>4</v>
      </c>
      <c r="S34" s="6">
        <f t="shared" ref="S34:S62" si="10">IFERROR(ROUND(E34/B34*100,2),"")</f>
        <v>10</v>
      </c>
    </row>
    <row r="35" spans="1:19" ht="15.75" customHeight="1" outlineLevel="1" x14ac:dyDescent="0.25">
      <c r="A35" s="54">
        <v>45962</v>
      </c>
      <c r="B35" s="58">
        <v>0</v>
      </c>
      <c r="C35" s="58">
        <v>0</v>
      </c>
      <c r="D35" s="58">
        <v>0</v>
      </c>
      <c r="E35" s="58">
        <v>0</v>
      </c>
      <c r="F35" s="57">
        <f t="shared" ref="F35:F64" si="11">A35+180</f>
        <v>46142</v>
      </c>
      <c r="G35" s="58">
        <f t="shared" ref="G35:G64" si="12">B35-D35-E35</f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8">
        <f t="shared" ref="M35:M64" si="13">L35*5</f>
        <v>0</v>
      </c>
      <c r="N35" s="55"/>
      <c r="O35" s="55"/>
      <c r="P35" s="58">
        <f t="shared" ref="P35:P64" si="14">O35*50</f>
        <v>0</v>
      </c>
      <c r="Q35" s="59">
        <f t="shared" ref="Q35:Q36" si="15">G35-H35-I35-K35-M35-N35-P35+Q34</f>
        <v>-5.14</v>
      </c>
      <c r="R35" s="3" t="str">
        <f t="shared" si="4"/>
        <v/>
      </c>
      <c r="S35" s="3" t="str">
        <f t="shared" si="10"/>
        <v/>
      </c>
    </row>
    <row r="36" spans="1:19" ht="15.75" customHeight="1" outlineLevel="1" x14ac:dyDescent="0.25">
      <c r="A36" s="54">
        <v>45963</v>
      </c>
      <c r="B36" s="58">
        <v>0</v>
      </c>
      <c r="C36" s="58">
        <v>0</v>
      </c>
      <c r="D36" s="58">
        <v>0</v>
      </c>
      <c r="E36" s="58">
        <v>0</v>
      </c>
      <c r="F36" s="57">
        <f t="shared" si="11"/>
        <v>46143</v>
      </c>
      <c r="G36" s="58">
        <f t="shared" si="12"/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8">
        <f t="shared" si="13"/>
        <v>0</v>
      </c>
      <c r="N36" s="55"/>
      <c r="O36" s="55"/>
      <c r="P36" s="58">
        <f t="shared" si="14"/>
        <v>0</v>
      </c>
      <c r="Q36" s="59">
        <f t="shared" si="15"/>
        <v>-5.14</v>
      </c>
      <c r="R36" s="3" t="str">
        <f t="shared" si="4"/>
        <v/>
      </c>
      <c r="S36" s="3" t="str">
        <f t="shared" si="10"/>
        <v/>
      </c>
    </row>
    <row r="37" spans="1:19" ht="15.75" customHeight="1" outlineLevel="1" x14ac:dyDescent="0.25">
      <c r="A37" s="54">
        <v>45964</v>
      </c>
      <c r="B37" s="58">
        <v>0</v>
      </c>
      <c r="C37" s="58">
        <v>0</v>
      </c>
      <c r="D37" s="58">
        <v>0</v>
      </c>
      <c r="E37" s="58">
        <v>0</v>
      </c>
      <c r="F37" s="57">
        <f t="shared" si="11"/>
        <v>46144</v>
      </c>
      <c r="G37" s="58">
        <f t="shared" si="12"/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8">
        <f t="shared" si="13"/>
        <v>0</v>
      </c>
      <c r="N37" s="55"/>
      <c r="O37" s="55"/>
      <c r="P37" s="58">
        <f t="shared" si="14"/>
        <v>0</v>
      </c>
      <c r="Q37" s="59">
        <f t="shared" ref="Q37:Q64" si="16">Q36+G37-H37-I37-K37-M37-N37-P37</f>
        <v>-5.14</v>
      </c>
      <c r="R37" s="3" t="str">
        <f t="shared" si="4"/>
        <v/>
      </c>
      <c r="S37" s="3" t="str">
        <f t="shared" si="10"/>
        <v/>
      </c>
    </row>
    <row r="38" spans="1:19" ht="15.75" customHeight="1" outlineLevel="1" x14ac:dyDescent="0.25">
      <c r="A38" s="54">
        <v>45965</v>
      </c>
      <c r="B38" s="58">
        <v>0</v>
      </c>
      <c r="C38" s="58">
        <v>0</v>
      </c>
      <c r="D38" s="58">
        <v>0</v>
      </c>
      <c r="E38" s="58">
        <v>0</v>
      </c>
      <c r="F38" s="57">
        <f t="shared" si="11"/>
        <v>46145</v>
      </c>
      <c r="G38" s="58">
        <f t="shared" si="12"/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8">
        <f t="shared" si="13"/>
        <v>0</v>
      </c>
      <c r="N38" s="55"/>
      <c r="O38" s="55"/>
      <c r="P38" s="58">
        <f t="shared" si="14"/>
        <v>0</v>
      </c>
      <c r="Q38" s="59">
        <f t="shared" si="16"/>
        <v>-5.14</v>
      </c>
      <c r="R38" s="3" t="str">
        <f t="shared" si="4"/>
        <v/>
      </c>
      <c r="S38" s="3" t="str">
        <f t="shared" si="10"/>
        <v/>
      </c>
    </row>
    <row r="39" spans="1:19" ht="15.75" customHeight="1" outlineLevel="1" x14ac:dyDescent="0.25">
      <c r="A39" s="54">
        <v>45966</v>
      </c>
      <c r="B39" s="58">
        <v>0</v>
      </c>
      <c r="C39" s="58">
        <v>0</v>
      </c>
      <c r="D39" s="58">
        <v>0</v>
      </c>
      <c r="E39" s="58">
        <v>0</v>
      </c>
      <c r="F39" s="57">
        <f t="shared" si="11"/>
        <v>46146</v>
      </c>
      <c r="G39" s="58">
        <f t="shared" si="12"/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8">
        <f t="shared" si="13"/>
        <v>0</v>
      </c>
      <c r="N39" s="55"/>
      <c r="O39" s="55"/>
      <c r="P39" s="58">
        <f t="shared" si="14"/>
        <v>0</v>
      </c>
      <c r="Q39" s="59">
        <f t="shared" si="16"/>
        <v>-5.14</v>
      </c>
      <c r="R39" s="3" t="str">
        <f t="shared" si="4"/>
        <v/>
      </c>
      <c r="S39" s="3" t="str">
        <f t="shared" si="10"/>
        <v/>
      </c>
    </row>
    <row r="40" spans="1:19" ht="15.75" customHeight="1" outlineLevel="1" x14ac:dyDescent="0.25">
      <c r="A40" s="54">
        <v>45967</v>
      </c>
      <c r="B40" s="58">
        <v>0</v>
      </c>
      <c r="C40" s="58">
        <v>0</v>
      </c>
      <c r="D40" s="58">
        <v>0</v>
      </c>
      <c r="E40" s="58">
        <v>0</v>
      </c>
      <c r="F40" s="57">
        <f t="shared" si="11"/>
        <v>46147</v>
      </c>
      <c r="G40" s="58">
        <f t="shared" si="12"/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8">
        <f t="shared" si="13"/>
        <v>0</v>
      </c>
      <c r="N40" s="55"/>
      <c r="O40" s="55"/>
      <c r="P40" s="58">
        <f t="shared" si="14"/>
        <v>0</v>
      </c>
      <c r="Q40" s="59">
        <f t="shared" si="16"/>
        <v>-5.14</v>
      </c>
      <c r="R40" s="3" t="str">
        <f t="shared" si="4"/>
        <v/>
      </c>
      <c r="S40" s="3" t="str">
        <f t="shared" si="10"/>
        <v/>
      </c>
    </row>
    <row r="41" spans="1:19" ht="15.75" customHeight="1" outlineLevel="1" x14ac:dyDescent="0.25">
      <c r="A41" s="54">
        <v>45968</v>
      </c>
      <c r="B41" s="58">
        <v>0</v>
      </c>
      <c r="C41" s="58">
        <v>0</v>
      </c>
      <c r="D41" s="58">
        <v>0</v>
      </c>
      <c r="E41" s="58">
        <v>0</v>
      </c>
      <c r="F41" s="57">
        <f t="shared" si="11"/>
        <v>46148</v>
      </c>
      <c r="G41" s="58">
        <f t="shared" si="12"/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8">
        <f t="shared" si="13"/>
        <v>0</v>
      </c>
      <c r="N41" s="55"/>
      <c r="O41" s="55"/>
      <c r="P41" s="58">
        <f t="shared" si="14"/>
        <v>0</v>
      </c>
      <c r="Q41" s="59">
        <f t="shared" si="16"/>
        <v>-5.14</v>
      </c>
      <c r="R41" s="3" t="str">
        <f t="shared" si="4"/>
        <v/>
      </c>
      <c r="S41" s="3" t="str">
        <f t="shared" si="10"/>
        <v/>
      </c>
    </row>
    <row r="42" spans="1:19" ht="15.75" customHeight="1" outlineLevel="1" x14ac:dyDescent="0.25">
      <c r="A42" s="54">
        <v>45969</v>
      </c>
      <c r="B42" s="58">
        <v>0</v>
      </c>
      <c r="C42" s="58">
        <v>0</v>
      </c>
      <c r="D42" s="58">
        <v>0</v>
      </c>
      <c r="E42" s="58">
        <v>0</v>
      </c>
      <c r="F42" s="57">
        <f t="shared" si="11"/>
        <v>46149</v>
      </c>
      <c r="G42" s="58">
        <f t="shared" si="12"/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8">
        <f t="shared" si="13"/>
        <v>0</v>
      </c>
      <c r="N42" s="55"/>
      <c r="O42" s="55"/>
      <c r="P42" s="58">
        <f t="shared" si="14"/>
        <v>0</v>
      </c>
      <c r="Q42" s="59">
        <f t="shared" si="16"/>
        <v>-5.14</v>
      </c>
      <c r="R42" s="3" t="str">
        <f t="shared" si="4"/>
        <v/>
      </c>
      <c r="S42" s="3" t="str">
        <f t="shared" si="10"/>
        <v/>
      </c>
    </row>
    <row r="43" spans="1:19" ht="15.75" customHeight="1" outlineLevel="1" x14ac:dyDescent="0.25">
      <c r="A43" s="54">
        <v>45970</v>
      </c>
      <c r="B43" s="58">
        <v>0</v>
      </c>
      <c r="C43" s="58">
        <v>0</v>
      </c>
      <c r="D43" s="58">
        <v>0</v>
      </c>
      <c r="E43" s="58">
        <v>0</v>
      </c>
      <c r="F43" s="57">
        <f t="shared" si="11"/>
        <v>46150</v>
      </c>
      <c r="G43" s="58">
        <f t="shared" si="12"/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8">
        <f t="shared" si="13"/>
        <v>0</v>
      </c>
      <c r="N43" s="55"/>
      <c r="O43" s="55"/>
      <c r="P43" s="58">
        <f t="shared" si="14"/>
        <v>0</v>
      </c>
      <c r="Q43" s="59">
        <f t="shared" si="16"/>
        <v>-5.14</v>
      </c>
      <c r="R43" s="3" t="str">
        <f t="shared" si="4"/>
        <v/>
      </c>
      <c r="S43" s="3" t="str">
        <f t="shared" si="10"/>
        <v/>
      </c>
    </row>
    <row r="44" spans="1:19" ht="15.75" customHeight="1" outlineLevel="1" x14ac:dyDescent="0.25">
      <c r="A44" s="54">
        <v>45971</v>
      </c>
      <c r="B44" s="58">
        <v>0</v>
      </c>
      <c r="C44" s="58">
        <v>0</v>
      </c>
      <c r="D44" s="58">
        <v>0</v>
      </c>
      <c r="E44" s="58">
        <v>0</v>
      </c>
      <c r="F44" s="57">
        <f t="shared" si="11"/>
        <v>46151</v>
      </c>
      <c r="G44" s="58">
        <f t="shared" si="12"/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8">
        <f t="shared" si="13"/>
        <v>0</v>
      </c>
      <c r="N44" s="55"/>
      <c r="O44" s="55"/>
      <c r="P44" s="58">
        <f t="shared" si="14"/>
        <v>0</v>
      </c>
      <c r="Q44" s="59">
        <f t="shared" si="16"/>
        <v>-5.14</v>
      </c>
      <c r="R44" s="7" t="str">
        <f t="shared" si="4"/>
        <v/>
      </c>
      <c r="S44" s="7" t="str">
        <f t="shared" si="10"/>
        <v/>
      </c>
    </row>
    <row r="45" spans="1:19" ht="15.75" customHeight="1" outlineLevel="1" x14ac:dyDescent="0.25">
      <c r="A45" s="54">
        <v>45972</v>
      </c>
      <c r="B45" s="58">
        <v>0</v>
      </c>
      <c r="C45" s="58">
        <v>0</v>
      </c>
      <c r="D45" s="58">
        <v>0</v>
      </c>
      <c r="E45" s="58">
        <v>0</v>
      </c>
      <c r="F45" s="57">
        <f t="shared" si="11"/>
        <v>46152</v>
      </c>
      <c r="G45" s="58">
        <f t="shared" si="12"/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8">
        <f t="shared" si="13"/>
        <v>0</v>
      </c>
      <c r="N45" s="55"/>
      <c r="O45" s="55"/>
      <c r="P45" s="58">
        <f t="shared" si="14"/>
        <v>0</v>
      </c>
      <c r="Q45" s="59">
        <f t="shared" si="16"/>
        <v>-5.14</v>
      </c>
      <c r="R45" s="3" t="str">
        <f t="shared" si="4"/>
        <v/>
      </c>
      <c r="S45" s="3" t="str">
        <f t="shared" si="10"/>
        <v/>
      </c>
    </row>
    <row r="46" spans="1:19" ht="15.75" customHeight="1" outlineLevel="1" x14ac:dyDescent="0.25">
      <c r="A46" s="54">
        <v>45973</v>
      </c>
      <c r="B46" s="58">
        <v>0</v>
      </c>
      <c r="C46" s="58">
        <v>0</v>
      </c>
      <c r="D46" s="58">
        <v>0</v>
      </c>
      <c r="E46" s="58">
        <v>0</v>
      </c>
      <c r="F46" s="57">
        <f t="shared" si="11"/>
        <v>46153</v>
      </c>
      <c r="G46" s="58">
        <f t="shared" si="12"/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8">
        <f t="shared" si="13"/>
        <v>0</v>
      </c>
      <c r="N46" s="55"/>
      <c r="O46" s="55"/>
      <c r="P46" s="58">
        <f t="shared" si="14"/>
        <v>0</v>
      </c>
      <c r="Q46" s="59">
        <f t="shared" si="16"/>
        <v>-5.14</v>
      </c>
      <c r="R46" s="3" t="str">
        <f t="shared" si="4"/>
        <v/>
      </c>
      <c r="S46" s="3" t="str">
        <f t="shared" si="10"/>
        <v/>
      </c>
    </row>
    <row r="47" spans="1:19" ht="15.75" customHeight="1" outlineLevel="1" x14ac:dyDescent="0.25">
      <c r="A47" s="54">
        <v>45974</v>
      </c>
      <c r="B47" s="58">
        <v>0</v>
      </c>
      <c r="C47" s="58">
        <v>0</v>
      </c>
      <c r="D47" s="58">
        <v>0</v>
      </c>
      <c r="E47" s="58">
        <v>0</v>
      </c>
      <c r="F47" s="57">
        <f t="shared" si="11"/>
        <v>46154</v>
      </c>
      <c r="G47" s="58">
        <f t="shared" si="12"/>
        <v>0</v>
      </c>
      <c r="H47" s="55">
        <v>0</v>
      </c>
      <c r="I47" s="55">
        <v>0</v>
      </c>
      <c r="J47" s="55">
        <v>0</v>
      </c>
      <c r="K47" s="55">
        <v>0</v>
      </c>
      <c r="L47" s="55">
        <v>0</v>
      </c>
      <c r="M47" s="58">
        <f t="shared" si="13"/>
        <v>0</v>
      </c>
      <c r="N47" s="55"/>
      <c r="O47" s="55"/>
      <c r="P47" s="58">
        <f t="shared" si="14"/>
        <v>0</v>
      </c>
      <c r="Q47" s="59">
        <f t="shared" si="16"/>
        <v>-5.14</v>
      </c>
      <c r="R47" s="3" t="str">
        <f t="shared" si="4"/>
        <v/>
      </c>
      <c r="S47" s="3" t="str">
        <f t="shared" si="10"/>
        <v/>
      </c>
    </row>
    <row r="48" spans="1:19" ht="15.75" customHeight="1" outlineLevel="1" x14ac:dyDescent="0.25">
      <c r="A48" s="54">
        <v>45975</v>
      </c>
      <c r="B48" s="58">
        <v>0</v>
      </c>
      <c r="C48" s="58">
        <v>0</v>
      </c>
      <c r="D48" s="58">
        <v>0</v>
      </c>
      <c r="E48" s="58">
        <v>0</v>
      </c>
      <c r="F48" s="57">
        <f t="shared" si="11"/>
        <v>46155</v>
      </c>
      <c r="G48" s="58">
        <f t="shared" si="12"/>
        <v>0</v>
      </c>
      <c r="H48" s="55">
        <v>0</v>
      </c>
      <c r="I48" s="55">
        <v>0</v>
      </c>
      <c r="J48" s="55">
        <v>0</v>
      </c>
      <c r="K48" s="55">
        <v>0</v>
      </c>
      <c r="L48" s="55">
        <v>0</v>
      </c>
      <c r="M48" s="58">
        <f t="shared" si="13"/>
        <v>0</v>
      </c>
      <c r="N48" s="55"/>
      <c r="O48" s="55"/>
      <c r="P48" s="58">
        <f t="shared" si="14"/>
        <v>0</v>
      </c>
      <c r="Q48" s="59">
        <f t="shared" si="16"/>
        <v>-5.14</v>
      </c>
      <c r="R48" s="3" t="str">
        <f t="shared" si="4"/>
        <v/>
      </c>
      <c r="S48" s="3" t="str">
        <f t="shared" si="10"/>
        <v/>
      </c>
    </row>
    <row r="49" spans="1:19" ht="15.75" customHeight="1" outlineLevel="1" x14ac:dyDescent="0.25">
      <c r="A49" s="54">
        <v>45976</v>
      </c>
      <c r="B49" s="58">
        <v>0</v>
      </c>
      <c r="C49" s="58">
        <v>0</v>
      </c>
      <c r="D49" s="58">
        <v>0</v>
      </c>
      <c r="E49" s="58">
        <v>0</v>
      </c>
      <c r="F49" s="57">
        <f t="shared" si="11"/>
        <v>46156</v>
      </c>
      <c r="G49" s="58">
        <f t="shared" si="12"/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8">
        <f t="shared" si="13"/>
        <v>0</v>
      </c>
      <c r="N49" s="55"/>
      <c r="O49" s="55"/>
      <c r="P49" s="58">
        <f t="shared" si="14"/>
        <v>0</v>
      </c>
      <c r="Q49" s="59">
        <f t="shared" si="16"/>
        <v>-5.14</v>
      </c>
      <c r="R49" s="3" t="str">
        <f t="shared" si="4"/>
        <v/>
      </c>
      <c r="S49" s="3" t="str">
        <f t="shared" si="10"/>
        <v/>
      </c>
    </row>
    <row r="50" spans="1:19" ht="15.75" customHeight="1" outlineLevel="1" x14ac:dyDescent="0.25">
      <c r="A50" s="54">
        <v>45977</v>
      </c>
      <c r="B50" s="58">
        <v>0</v>
      </c>
      <c r="C50" s="63">
        <v>0</v>
      </c>
      <c r="D50" s="58">
        <v>0</v>
      </c>
      <c r="E50" s="55">
        <v>0</v>
      </c>
      <c r="F50" s="57">
        <f t="shared" si="11"/>
        <v>46157</v>
      </c>
      <c r="G50" s="58">
        <f t="shared" si="12"/>
        <v>0</v>
      </c>
      <c r="H50" s="55">
        <v>0</v>
      </c>
      <c r="I50" s="55">
        <v>0</v>
      </c>
      <c r="J50" s="55">
        <v>0</v>
      </c>
      <c r="K50" s="58">
        <v>0</v>
      </c>
      <c r="L50" s="58">
        <v>0</v>
      </c>
      <c r="M50" s="58">
        <f t="shared" si="13"/>
        <v>0</v>
      </c>
      <c r="N50" s="55"/>
      <c r="O50" s="55"/>
      <c r="P50" s="58">
        <f t="shared" si="14"/>
        <v>0</v>
      </c>
      <c r="Q50" s="59">
        <f t="shared" si="16"/>
        <v>-5.14</v>
      </c>
      <c r="R50" s="3" t="str">
        <f t="shared" si="4"/>
        <v/>
      </c>
      <c r="S50" s="3" t="str">
        <f t="shared" si="10"/>
        <v/>
      </c>
    </row>
    <row r="51" spans="1:19" ht="15.75" customHeight="1" outlineLevel="1" x14ac:dyDescent="0.25">
      <c r="A51" s="54">
        <v>45978</v>
      </c>
      <c r="B51" s="58">
        <v>2279.4699999999998</v>
      </c>
      <c r="C51" s="63">
        <v>35</v>
      </c>
      <c r="D51" s="58">
        <v>86.6</v>
      </c>
      <c r="E51" s="55">
        <v>227.95</v>
      </c>
      <c r="F51" s="57">
        <f t="shared" si="11"/>
        <v>46158</v>
      </c>
      <c r="G51" s="58">
        <f t="shared" si="12"/>
        <v>1964.9199999999998</v>
      </c>
      <c r="H51" s="55">
        <v>0</v>
      </c>
      <c r="I51" s="55">
        <v>0</v>
      </c>
      <c r="J51" s="55">
        <v>0</v>
      </c>
      <c r="K51" s="58">
        <v>0</v>
      </c>
      <c r="L51" s="58">
        <v>0</v>
      </c>
      <c r="M51" s="58">
        <f t="shared" si="13"/>
        <v>0</v>
      </c>
      <c r="N51" s="55"/>
      <c r="O51" s="55"/>
      <c r="P51" s="58">
        <f t="shared" si="14"/>
        <v>0</v>
      </c>
      <c r="Q51" s="59">
        <f t="shared" si="16"/>
        <v>1959.7799999999997</v>
      </c>
      <c r="R51" s="3">
        <f t="shared" si="4"/>
        <v>3.8</v>
      </c>
      <c r="S51" s="3">
        <f t="shared" si="10"/>
        <v>10</v>
      </c>
    </row>
    <row r="52" spans="1:19" ht="15.75" customHeight="1" outlineLevel="1" x14ac:dyDescent="0.25">
      <c r="A52" s="54">
        <v>45979</v>
      </c>
      <c r="B52" s="58">
        <v>5712.28</v>
      </c>
      <c r="C52" s="63">
        <v>66</v>
      </c>
      <c r="D52" s="58">
        <v>217.06</v>
      </c>
      <c r="E52" s="55">
        <v>571.27</v>
      </c>
      <c r="F52" s="57">
        <f t="shared" si="11"/>
        <v>46159</v>
      </c>
      <c r="G52" s="58">
        <f t="shared" si="12"/>
        <v>4923.9499999999989</v>
      </c>
      <c r="H52" s="55">
        <v>0</v>
      </c>
      <c r="I52" s="55">
        <v>0</v>
      </c>
      <c r="J52" s="55">
        <v>0</v>
      </c>
      <c r="K52" s="58">
        <v>0</v>
      </c>
      <c r="L52" s="58">
        <v>0</v>
      </c>
      <c r="M52" s="58">
        <f t="shared" si="13"/>
        <v>0</v>
      </c>
      <c r="N52" s="55"/>
      <c r="O52" s="55"/>
      <c r="P52" s="58">
        <f t="shared" si="14"/>
        <v>0</v>
      </c>
      <c r="Q52" s="59">
        <f t="shared" si="16"/>
        <v>6883.7299999999987</v>
      </c>
      <c r="R52" s="3">
        <f t="shared" si="4"/>
        <v>3.8</v>
      </c>
      <c r="S52" s="3">
        <f t="shared" si="10"/>
        <v>10</v>
      </c>
    </row>
    <row r="53" spans="1:19" ht="15.75" customHeight="1" outlineLevel="1" x14ac:dyDescent="0.25">
      <c r="A53" s="54">
        <v>45980</v>
      </c>
      <c r="B53" s="58">
        <v>3900.6</v>
      </c>
      <c r="C53" s="63">
        <v>54</v>
      </c>
      <c r="D53" s="58">
        <v>148.22</v>
      </c>
      <c r="E53" s="55">
        <v>390.08</v>
      </c>
      <c r="F53" s="57">
        <f t="shared" si="11"/>
        <v>46160</v>
      </c>
      <c r="G53" s="58">
        <f t="shared" si="12"/>
        <v>3362.3</v>
      </c>
      <c r="H53" s="55">
        <v>0</v>
      </c>
      <c r="I53" s="55">
        <v>0</v>
      </c>
      <c r="J53" s="55">
        <v>0</v>
      </c>
      <c r="K53" s="58">
        <v>0</v>
      </c>
      <c r="L53" s="58">
        <v>0</v>
      </c>
      <c r="M53" s="58">
        <f t="shared" si="13"/>
        <v>0</v>
      </c>
      <c r="N53" s="55"/>
      <c r="O53" s="55"/>
      <c r="P53" s="58">
        <f t="shared" si="14"/>
        <v>0</v>
      </c>
      <c r="Q53" s="59">
        <f t="shared" si="16"/>
        <v>10246.029999999999</v>
      </c>
      <c r="R53" s="3">
        <f t="shared" si="4"/>
        <v>3.8</v>
      </c>
      <c r="S53" s="3">
        <f t="shared" si="10"/>
        <v>10</v>
      </c>
    </row>
    <row r="54" spans="1:19" ht="15.75" customHeight="1" outlineLevel="1" x14ac:dyDescent="0.25">
      <c r="A54" s="54">
        <v>45981</v>
      </c>
      <c r="B54" s="58">
        <v>5785.19</v>
      </c>
      <c r="C54" s="63">
        <v>80</v>
      </c>
      <c r="D54" s="58">
        <v>219.86</v>
      </c>
      <c r="E54" s="55">
        <v>578.54999999999995</v>
      </c>
      <c r="F54" s="57">
        <f t="shared" si="11"/>
        <v>46161</v>
      </c>
      <c r="G54" s="58">
        <f t="shared" si="12"/>
        <v>4986.78</v>
      </c>
      <c r="H54" s="55">
        <v>0</v>
      </c>
      <c r="I54" s="55">
        <v>0</v>
      </c>
      <c r="J54" s="55">
        <v>0</v>
      </c>
      <c r="K54" s="58">
        <v>0</v>
      </c>
      <c r="L54" s="58">
        <v>0</v>
      </c>
      <c r="M54" s="58">
        <f t="shared" si="13"/>
        <v>0</v>
      </c>
      <c r="N54" s="55"/>
      <c r="O54" s="55"/>
      <c r="P54" s="58">
        <f t="shared" si="14"/>
        <v>0</v>
      </c>
      <c r="Q54" s="59">
        <f t="shared" si="16"/>
        <v>15232.809999999998</v>
      </c>
      <c r="R54" s="3">
        <f t="shared" si="4"/>
        <v>3.8</v>
      </c>
      <c r="S54" s="3">
        <f t="shared" si="10"/>
        <v>10</v>
      </c>
    </row>
    <row r="55" spans="1:19" ht="15.75" customHeight="1" outlineLevel="1" x14ac:dyDescent="0.25">
      <c r="A55" s="54">
        <v>45982</v>
      </c>
      <c r="B55" s="58">
        <v>3947.45</v>
      </c>
      <c r="C55" s="63">
        <v>69</v>
      </c>
      <c r="D55" s="58">
        <v>149.97999999999999</v>
      </c>
      <c r="E55" s="55">
        <v>394.76</v>
      </c>
      <c r="F55" s="57">
        <f t="shared" si="11"/>
        <v>46162</v>
      </c>
      <c r="G55" s="58">
        <f t="shared" si="12"/>
        <v>3402.71</v>
      </c>
      <c r="H55" s="55">
        <v>0</v>
      </c>
      <c r="I55" s="55">
        <v>0</v>
      </c>
      <c r="J55" s="55">
        <v>0</v>
      </c>
      <c r="K55" s="58">
        <v>0</v>
      </c>
      <c r="L55" s="58">
        <v>0</v>
      </c>
      <c r="M55" s="58">
        <f t="shared" si="13"/>
        <v>0</v>
      </c>
      <c r="N55" s="55"/>
      <c r="O55" s="55"/>
      <c r="P55" s="58">
        <f t="shared" si="14"/>
        <v>0</v>
      </c>
      <c r="Q55" s="59">
        <f t="shared" si="16"/>
        <v>18635.519999999997</v>
      </c>
      <c r="R55" s="3">
        <f t="shared" si="4"/>
        <v>3.8</v>
      </c>
      <c r="S55" s="3">
        <f t="shared" si="10"/>
        <v>10</v>
      </c>
    </row>
    <row r="56" spans="1:19" ht="15.75" customHeight="1" outlineLevel="1" x14ac:dyDescent="0.25">
      <c r="A56" s="54">
        <v>45983</v>
      </c>
      <c r="B56" s="58">
        <v>4839.66</v>
      </c>
      <c r="C56" s="63">
        <v>61</v>
      </c>
      <c r="D56" s="58">
        <v>183.89</v>
      </c>
      <c r="E56" s="55">
        <v>483.96</v>
      </c>
      <c r="F56" s="57">
        <f t="shared" si="11"/>
        <v>46163</v>
      </c>
      <c r="G56" s="58">
        <f t="shared" si="12"/>
        <v>4171.8099999999995</v>
      </c>
      <c r="H56" s="55">
        <v>0</v>
      </c>
      <c r="I56" s="55">
        <v>0</v>
      </c>
      <c r="J56" s="55">
        <v>0</v>
      </c>
      <c r="K56" s="58">
        <v>0</v>
      </c>
      <c r="L56" s="58">
        <v>0</v>
      </c>
      <c r="M56" s="58">
        <f t="shared" si="13"/>
        <v>0</v>
      </c>
      <c r="N56" s="55"/>
      <c r="O56" s="55"/>
      <c r="P56" s="58">
        <f t="shared" si="14"/>
        <v>0</v>
      </c>
      <c r="Q56" s="59">
        <f t="shared" si="16"/>
        <v>22807.329999999994</v>
      </c>
      <c r="R56" s="3">
        <f t="shared" si="4"/>
        <v>3.8</v>
      </c>
      <c r="S56" s="3">
        <f t="shared" si="10"/>
        <v>10</v>
      </c>
    </row>
    <row r="57" spans="1:19" ht="15.75" customHeight="1" outlineLevel="1" x14ac:dyDescent="0.25">
      <c r="A57" s="54">
        <v>45984</v>
      </c>
      <c r="B57" s="58">
        <v>2399.16</v>
      </c>
      <c r="C57" s="63">
        <v>46</v>
      </c>
      <c r="D57" s="58">
        <v>91.16</v>
      </c>
      <c r="E57" s="55">
        <v>239.92</v>
      </c>
      <c r="F57" s="57">
        <f t="shared" si="11"/>
        <v>46164</v>
      </c>
      <c r="G57" s="58">
        <f t="shared" si="12"/>
        <v>2068.08</v>
      </c>
      <c r="H57" s="55">
        <v>0</v>
      </c>
      <c r="I57" s="55">
        <v>0</v>
      </c>
      <c r="J57" s="55">
        <v>0</v>
      </c>
      <c r="K57" s="58">
        <v>0</v>
      </c>
      <c r="L57" s="58">
        <v>0</v>
      </c>
      <c r="M57" s="58">
        <f t="shared" si="13"/>
        <v>0</v>
      </c>
      <c r="N57" s="55"/>
      <c r="O57" s="55"/>
      <c r="P57" s="58">
        <f t="shared" si="14"/>
        <v>0</v>
      </c>
      <c r="Q57" s="59">
        <f t="shared" si="16"/>
        <v>24875.409999999996</v>
      </c>
      <c r="R57" s="3">
        <f t="shared" si="4"/>
        <v>3.8</v>
      </c>
      <c r="S57" s="3">
        <f t="shared" si="10"/>
        <v>10</v>
      </c>
    </row>
    <row r="58" spans="1:19" ht="15.75" customHeight="1" outlineLevel="1" x14ac:dyDescent="0.25">
      <c r="A58" s="54">
        <v>45985</v>
      </c>
      <c r="B58" s="58">
        <v>4835.3900000000003</v>
      </c>
      <c r="C58" s="63">
        <v>57</v>
      </c>
      <c r="D58" s="58">
        <v>183.75</v>
      </c>
      <c r="E58" s="55">
        <v>483.59</v>
      </c>
      <c r="F58" s="57">
        <f t="shared" si="11"/>
        <v>46165</v>
      </c>
      <c r="G58" s="58">
        <f t="shared" si="12"/>
        <v>4168.05</v>
      </c>
      <c r="H58" s="55">
        <v>0</v>
      </c>
      <c r="I58" s="55">
        <v>0</v>
      </c>
      <c r="J58" s="55">
        <v>0</v>
      </c>
      <c r="K58" s="58">
        <v>0</v>
      </c>
      <c r="L58" s="58">
        <v>0</v>
      </c>
      <c r="M58" s="58">
        <f t="shared" si="13"/>
        <v>0</v>
      </c>
      <c r="N58" s="55"/>
      <c r="O58" s="55"/>
      <c r="P58" s="58">
        <f t="shared" si="14"/>
        <v>0</v>
      </c>
      <c r="Q58" s="59">
        <f t="shared" si="16"/>
        <v>29043.459999999995</v>
      </c>
      <c r="R58" s="3">
        <f t="shared" si="4"/>
        <v>3.8</v>
      </c>
      <c r="S58" s="3">
        <f t="shared" si="10"/>
        <v>10</v>
      </c>
    </row>
    <row r="59" spans="1:19" ht="15.75" customHeight="1" outlineLevel="1" x14ac:dyDescent="0.25">
      <c r="A59" s="54">
        <v>45986</v>
      </c>
      <c r="B59" s="58">
        <v>3811.69</v>
      </c>
      <c r="C59" s="63">
        <v>74</v>
      </c>
      <c r="D59" s="58">
        <v>144.84</v>
      </c>
      <c r="E59" s="55">
        <v>381.2</v>
      </c>
      <c r="F59" s="57">
        <f t="shared" si="11"/>
        <v>46166</v>
      </c>
      <c r="G59" s="58">
        <f t="shared" si="12"/>
        <v>3285.65</v>
      </c>
      <c r="H59" s="55">
        <v>0</v>
      </c>
      <c r="I59" s="55">
        <v>0</v>
      </c>
      <c r="J59" s="55">
        <v>0</v>
      </c>
      <c r="K59" s="58">
        <v>0</v>
      </c>
      <c r="L59" s="58">
        <v>0</v>
      </c>
      <c r="M59" s="58">
        <f t="shared" si="13"/>
        <v>0</v>
      </c>
      <c r="N59" s="55"/>
      <c r="O59" s="55"/>
      <c r="P59" s="58">
        <f t="shared" si="14"/>
        <v>0</v>
      </c>
      <c r="Q59" s="59">
        <f t="shared" si="16"/>
        <v>32329.109999999997</v>
      </c>
      <c r="R59" s="3">
        <f t="shared" si="4"/>
        <v>3.8</v>
      </c>
      <c r="S59" s="3">
        <f t="shared" si="10"/>
        <v>10</v>
      </c>
    </row>
    <row r="60" spans="1:19" ht="15.75" customHeight="1" outlineLevel="1" x14ac:dyDescent="0.25">
      <c r="A60" s="54">
        <v>45987</v>
      </c>
      <c r="B60" s="58">
        <v>10267.280000000001</v>
      </c>
      <c r="C60" s="63">
        <v>253</v>
      </c>
      <c r="D60" s="58">
        <v>390.21</v>
      </c>
      <c r="E60" s="55">
        <v>1026.8499999999999</v>
      </c>
      <c r="F60" s="57">
        <f t="shared" si="11"/>
        <v>46167</v>
      </c>
      <c r="G60" s="58">
        <f t="shared" si="12"/>
        <v>8850.2200000000012</v>
      </c>
      <c r="H60" s="55">
        <v>0</v>
      </c>
      <c r="I60" s="55">
        <v>0</v>
      </c>
      <c r="J60" s="55">
        <v>0</v>
      </c>
      <c r="K60" s="58">
        <v>0</v>
      </c>
      <c r="L60" s="58">
        <v>0</v>
      </c>
      <c r="M60" s="58">
        <f t="shared" si="13"/>
        <v>0</v>
      </c>
      <c r="N60" s="55"/>
      <c r="O60" s="55"/>
      <c r="P60" s="58">
        <f t="shared" si="14"/>
        <v>0</v>
      </c>
      <c r="Q60" s="59">
        <f t="shared" si="16"/>
        <v>41179.33</v>
      </c>
      <c r="R60" s="3">
        <f t="shared" si="4"/>
        <v>3.8</v>
      </c>
      <c r="S60" s="3">
        <f t="shared" si="10"/>
        <v>10</v>
      </c>
    </row>
    <row r="61" spans="1:19" ht="15.75" customHeight="1" outlineLevel="1" x14ac:dyDescent="0.25">
      <c r="A61" s="54">
        <v>45988</v>
      </c>
      <c r="B61" s="58">
        <v>17770.36</v>
      </c>
      <c r="C61" s="63">
        <v>368</v>
      </c>
      <c r="D61" s="58">
        <v>675.13</v>
      </c>
      <c r="E61" s="55">
        <v>1777.43</v>
      </c>
      <c r="F61" s="57">
        <f t="shared" si="11"/>
        <v>46168</v>
      </c>
      <c r="G61" s="58">
        <f t="shared" si="12"/>
        <v>15317.8</v>
      </c>
      <c r="H61" s="55">
        <v>0</v>
      </c>
      <c r="I61" s="55">
        <v>0</v>
      </c>
      <c r="J61" s="55">
        <v>0</v>
      </c>
      <c r="K61" s="58">
        <v>0</v>
      </c>
      <c r="L61" s="58">
        <v>0</v>
      </c>
      <c r="M61" s="58">
        <f t="shared" si="13"/>
        <v>0</v>
      </c>
      <c r="N61" s="55"/>
      <c r="O61" s="55"/>
      <c r="P61" s="58">
        <f t="shared" si="14"/>
        <v>0</v>
      </c>
      <c r="Q61" s="59">
        <f t="shared" si="16"/>
        <v>56497.130000000005</v>
      </c>
      <c r="R61" s="3">
        <f t="shared" si="4"/>
        <v>3.8</v>
      </c>
      <c r="S61" s="3">
        <f t="shared" si="10"/>
        <v>10</v>
      </c>
    </row>
    <row r="62" spans="1:19" ht="15.75" customHeight="1" outlineLevel="1" x14ac:dyDescent="0.25">
      <c r="A62" s="54">
        <v>45989</v>
      </c>
      <c r="B62" s="58">
        <v>9798.9</v>
      </c>
      <c r="C62" s="63">
        <v>139</v>
      </c>
      <c r="D62" s="58">
        <v>372.37</v>
      </c>
      <c r="E62" s="55">
        <v>979.94</v>
      </c>
      <c r="F62" s="57">
        <f t="shared" si="11"/>
        <v>46169</v>
      </c>
      <c r="G62" s="58">
        <f t="shared" si="12"/>
        <v>8446.5899999999983</v>
      </c>
      <c r="H62" s="55">
        <v>0</v>
      </c>
      <c r="I62" s="55">
        <v>0</v>
      </c>
      <c r="J62" s="55">
        <v>0</v>
      </c>
      <c r="K62" s="58">
        <v>0</v>
      </c>
      <c r="L62" s="58">
        <v>0</v>
      </c>
      <c r="M62" s="58">
        <f t="shared" si="13"/>
        <v>0</v>
      </c>
      <c r="N62" s="55"/>
      <c r="O62" s="55"/>
      <c r="P62" s="58">
        <f t="shared" si="14"/>
        <v>0</v>
      </c>
      <c r="Q62" s="59">
        <f t="shared" si="16"/>
        <v>64943.72</v>
      </c>
      <c r="R62" s="3">
        <f t="shared" si="4"/>
        <v>3.8</v>
      </c>
      <c r="S62" s="3">
        <f t="shared" si="10"/>
        <v>10</v>
      </c>
    </row>
    <row r="63" spans="1:19" ht="15.75" customHeight="1" outlineLevel="1" x14ac:dyDescent="0.25">
      <c r="A63" s="54">
        <v>45990</v>
      </c>
      <c r="B63" s="58">
        <v>4455.03</v>
      </c>
      <c r="C63" s="63">
        <v>62</v>
      </c>
      <c r="D63" s="58">
        <v>169.3</v>
      </c>
      <c r="E63" s="55">
        <v>445.52</v>
      </c>
      <c r="F63" s="57">
        <f t="shared" si="11"/>
        <v>46170</v>
      </c>
      <c r="G63" s="58">
        <f t="shared" si="12"/>
        <v>3840.2099999999996</v>
      </c>
      <c r="H63" s="55">
        <v>0</v>
      </c>
      <c r="I63" s="55">
        <v>0</v>
      </c>
      <c r="J63" s="55">
        <v>0</v>
      </c>
      <c r="K63" s="58">
        <v>0</v>
      </c>
      <c r="L63" s="58">
        <v>0</v>
      </c>
      <c r="M63" s="58">
        <f t="shared" si="13"/>
        <v>0</v>
      </c>
      <c r="N63" s="55"/>
      <c r="O63" s="55"/>
      <c r="P63" s="58">
        <f t="shared" si="14"/>
        <v>0</v>
      </c>
      <c r="Q63" s="59">
        <f t="shared" si="16"/>
        <v>68783.930000000008</v>
      </c>
      <c r="R63" s="3">
        <f t="shared" si="4"/>
        <v>3.8</v>
      </c>
      <c r="S63" s="3"/>
    </row>
    <row r="64" spans="1:19" ht="15.75" customHeight="1" outlineLevel="1" x14ac:dyDescent="0.25">
      <c r="A64" s="54">
        <v>45991</v>
      </c>
      <c r="B64" s="58">
        <v>3486.55</v>
      </c>
      <c r="C64" s="63">
        <v>72</v>
      </c>
      <c r="D64" s="58">
        <v>132.52000000000001</v>
      </c>
      <c r="E64" s="55">
        <v>348.67</v>
      </c>
      <c r="F64" s="57">
        <f t="shared" si="11"/>
        <v>46171</v>
      </c>
      <c r="G64" s="58">
        <f t="shared" si="12"/>
        <v>3005.36</v>
      </c>
      <c r="H64" s="55">
        <v>0</v>
      </c>
      <c r="I64" s="55">
        <v>0</v>
      </c>
      <c r="J64" s="55">
        <v>0</v>
      </c>
      <c r="K64" s="58">
        <v>0</v>
      </c>
      <c r="L64" s="58">
        <v>0</v>
      </c>
      <c r="M64" s="58">
        <f t="shared" si="13"/>
        <v>0</v>
      </c>
      <c r="N64" s="55"/>
      <c r="O64" s="55"/>
      <c r="P64" s="58">
        <f t="shared" si="14"/>
        <v>0</v>
      </c>
      <c r="Q64" s="59">
        <f t="shared" si="16"/>
        <v>71789.290000000008</v>
      </c>
      <c r="R64" s="3">
        <f t="shared" si="4"/>
        <v>3.8</v>
      </c>
      <c r="S64" s="3"/>
    </row>
    <row r="65" spans="1:19" ht="15.75" customHeight="1" x14ac:dyDescent="0.25">
      <c r="A65" s="64" t="s">
        <v>18</v>
      </c>
      <c r="B65" s="65">
        <f t="shared" ref="B65:E65" si="17">SUM(B35:B64)</f>
        <v>83289.009999999995</v>
      </c>
      <c r="C65" s="65">
        <f t="shared" si="17"/>
        <v>1436</v>
      </c>
      <c r="D65" s="65">
        <f t="shared" si="17"/>
        <v>3164.89</v>
      </c>
      <c r="E65" s="65">
        <f t="shared" si="17"/>
        <v>8329.69</v>
      </c>
      <c r="F65" s="66"/>
      <c r="G65" s="65">
        <f t="shared" ref="G65:P65" si="18">SUM(G35:G64)</f>
        <v>71794.430000000008</v>
      </c>
      <c r="H65" s="65">
        <f t="shared" si="18"/>
        <v>0</v>
      </c>
      <c r="I65" s="65">
        <f t="shared" si="18"/>
        <v>0</v>
      </c>
      <c r="J65" s="65">
        <f t="shared" si="18"/>
        <v>0</v>
      </c>
      <c r="K65" s="65">
        <f t="shared" si="18"/>
        <v>0</v>
      </c>
      <c r="L65" s="65">
        <f t="shared" si="18"/>
        <v>0</v>
      </c>
      <c r="M65" s="65">
        <f t="shared" si="18"/>
        <v>0</v>
      </c>
      <c r="N65" s="65">
        <f t="shared" si="18"/>
        <v>0</v>
      </c>
      <c r="O65" s="65">
        <f t="shared" si="18"/>
        <v>0</v>
      </c>
      <c r="P65" s="65">
        <f t="shared" si="18"/>
        <v>0</v>
      </c>
      <c r="Q65" s="67">
        <f>G65-H65-I65-K65-M65-N65-P65+Q34</f>
        <v>71789.290000000008</v>
      </c>
      <c r="R65" s="6">
        <f t="shared" si="4"/>
        <v>3.8</v>
      </c>
      <c r="S65" s="6">
        <f t="shared" ref="S65:S93" si="19">IFERROR(ROUND(E65/B65*100,2),"")</f>
        <v>10</v>
      </c>
    </row>
    <row r="66" spans="1:19" ht="15.75" customHeight="1" x14ac:dyDescent="0.25">
      <c r="A66" s="54">
        <v>45992</v>
      </c>
      <c r="B66" s="58">
        <f ca="1">IFERROR(__xludf.DUMMYFUNCTION("ifna(FILTER('Day Log'!B:B,'Day Log'!$A:$A=A66),"""")"),5260.05)</f>
        <v>5260.05</v>
      </c>
      <c r="C66" s="63">
        <f ca="1">IFERROR(__xludf.DUMMYFUNCTION("ifna(FILTER('Day Log'!C:C,'Day Log'!$A:$A=A66),"""")"),89)</f>
        <v>89</v>
      </c>
      <c r="D66" s="58">
        <f ca="1">IFERROR(__xludf.DUMMYFUNCTION("ifna(FILTER('Day Log'!D:D,'Day Log'!$A:$A=A66),"""")"),199.9)</f>
        <v>199.9</v>
      </c>
      <c r="E66" s="55">
        <f ca="1">IFERROR(__xludf.DUMMYFUNCTION("ifna(FILTER('Day Log'!E:E,'Day Log'!$A:$A=A66),"""")"),526.01)</f>
        <v>526.01</v>
      </c>
      <c r="F66" s="57">
        <f t="shared" ref="F66:F96" si="20">A66+180</f>
        <v>46172</v>
      </c>
      <c r="G66" s="58">
        <f t="shared" ref="G66:G96" ca="1" si="21">B66-D66-E66</f>
        <v>4534.1400000000003</v>
      </c>
      <c r="H66" s="55"/>
      <c r="I66" s="55"/>
      <c r="J66" s="55"/>
      <c r="K66" s="58">
        <f ca="1">IFERROR(__xludf.DUMMYFUNCTION("ifna(FILTER('Day Log'!H:H,'Day Log'!$A:$A=A66),"""")"),0)</f>
        <v>0</v>
      </c>
      <c r="L66" s="58">
        <f ca="1">IFERROR(__xludf.DUMMYFUNCTION("ifna(FILTER('Day Log'!I:I,'Day Log'!$A:$A=A66),"""")"),0)</f>
        <v>0</v>
      </c>
      <c r="M66" s="58">
        <f t="shared" ref="M66:M96" ca="1" si="22">L66*5</f>
        <v>0</v>
      </c>
      <c r="N66" s="55"/>
      <c r="O66" s="55"/>
      <c r="P66" s="58">
        <f t="shared" ref="P66:P96" si="23">O66*50</f>
        <v>0</v>
      </c>
      <c r="Q66" s="59">
        <f t="shared" ref="Q66:Q67" ca="1" si="24">G66-H66-I66-K66-M66-N66-P66+Q65</f>
        <v>76323.430000000008</v>
      </c>
      <c r="R66" s="3">
        <f t="shared" ca="1" si="4"/>
        <v>3.8</v>
      </c>
      <c r="S66" s="3">
        <f t="shared" ca="1" si="19"/>
        <v>10</v>
      </c>
    </row>
    <row r="67" spans="1:19" ht="15.75" customHeight="1" x14ac:dyDescent="0.25">
      <c r="A67" s="54">
        <v>45993</v>
      </c>
      <c r="B67" s="58">
        <f ca="1">IFERROR(__xludf.DUMMYFUNCTION("ifna(FILTER('Day Log'!B:B,'Day Log'!$A:$A=A67),"""")"),6076.84)</f>
        <v>6076.84</v>
      </c>
      <c r="C67" s="63">
        <f ca="1">IFERROR(__xludf.DUMMYFUNCTION("ifna(FILTER('Day Log'!C:C,'Day Log'!$A:$A=A67),"""")"),127)</f>
        <v>127</v>
      </c>
      <c r="D67" s="58">
        <f ca="1">IFERROR(__xludf.DUMMYFUNCTION("ifna(FILTER('Day Log'!D:D,'Day Log'!$A:$A=A67),"""")"),231)</f>
        <v>231</v>
      </c>
      <c r="E67" s="55">
        <f ca="1">IFERROR(__xludf.DUMMYFUNCTION("ifna(FILTER('Day Log'!E:E,'Day Log'!$A:$A=A67),"""")"),607.7)</f>
        <v>607.70000000000005</v>
      </c>
      <c r="F67" s="57">
        <f t="shared" si="20"/>
        <v>46173</v>
      </c>
      <c r="G67" s="58">
        <f t="shared" ca="1" si="21"/>
        <v>5238.1400000000003</v>
      </c>
      <c r="H67" s="55"/>
      <c r="I67" s="55"/>
      <c r="J67" s="55"/>
      <c r="K67" s="58">
        <f ca="1">IFERROR(__xludf.DUMMYFUNCTION("ifna(FILTER('Day Log'!H:H,'Day Log'!$A:$A=A67),"""")"),0)</f>
        <v>0</v>
      </c>
      <c r="L67" s="58">
        <f ca="1">IFERROR(__xludf.DUMMYFUNCTION("ifna(FILTER('Day Log'!I:I,'Day Log'!$A:$A=A67),"""")"),0)</f>
        <v>0</v>
      </c>
      <c r="M67" s="58">
        <f t="shared" ca="1" si="22"/>
        <v>0</v>
      </c>
      <c r="N67" s="55"/>
      <c r="O67" s="55"/>
      <c r="P67" s="58">
        <f t="shared" si="23"/>
        <v>0</v>
      </c>
      <c r="Q67" s="59">
        <f t="shared" ca="1" si="24"/>
        <v>81561.570000000007</v>
      </c>
      <c r="R67" s="3">
        <f t="shared" ca="1" si="4"/>
        <v>3.8</v>
      </c>
      <c r="S67" s="3">
        <f t="shared" ca="1" si="19"/>
        <v>10</v>
      </c>
    </row>
    <row r="68" spans="1:19" ht="15.75" customHeight="1" x14ac:dyDescent="0.25">
      <c r="A68" s="54">
        <v>45994</v>
      </c>
      <c r="B68" s="58">
        <f ca="1">IFERROR(__xludf.DUMMYFUNCTION("ifna(FILTER('Day Log'!B:B,'Day Log'!$A:$A=A68),"""")"),8425.79)</f>
        <v>8425.7900000000009</v>
      </c>
      <c r="C68" s="63">
        <f ca="1">IFERROR(__xludf.DUMMYFUNCTION("ifna(FILTER('Day Log'!C:C,'Day Log'!$A:$A=A68),"""")"),114)</f>
        <v>114</v>
      </c>
      <c r="D68" s="58">
        <f ca="1">IFERROR(__xludf.DUMMYFUNCTION("ifna(FILTER('Day Log'!D:D,'Day Log'!$A:$A=A68),"""")"),320.2)</f>
        <v>320.2</v>
      </c>
      <c r="E68" s="55">
        <f ca="1">IFERROR(__xludf.DUMMYFUNCTION("ifna(FILTER('Day Log'!E:E,'Day Log'!$A:$A=A68),"""")"),842.62)</f>
        <v>842.62</v>
      </c>
      <c r="F68" s="57">
        <f t="shared" si="20"/>
        <v>46174</v>
      </c>
      <c r="G68" s="58">
        <f t="shared" ca="1" si="21"/>
        <v>7262.9700000000012</v>
      </c>
      <c r="H68" s="55"/>
      <c r="I68" s="55"/>
      <c r="J68" s="55"/>
      <c r="K68" s="58">
        <f ca="1">IFERROR(__xludf.DUMMYFUNCTION("ifna(FILTER('Day Log'!H:H,'Day Log'!$A:$A=A68),"""")"),0)</f>
        <v>0</v>
      </c>
      <c r="L68" s="58">
        <f ca="1">IFERROR(__xludf.DUMMYFUNCTION("ifna(FILTER('Day Log'!I:I,'Day Log'!$A:$A=A68),"""")"),0)</f>
        <v>0</v>
      </c>
      <c r="M68" s="58">
        <f t="shared" ca="1" si="22"/>
        <v>0</v>
      </c>
      <c r="N68" s="55"/>
      <c r="O68" s="55"/>
      <c r="P68" s="58">
        <f t="shared" si="23"/>
        <v>0</v>
      </c>
      <c r="Q68" s="59">
        <f t="shared" ref="Q68:Q96" ca="1" si="25">Q67+G68-H68-I68-K68-M68-N68-P68</f>
        <v>88824.540000000008</v>
      </c>
      <c r="R68" s="3">
        <f t="shared" ca="1" si="4"/>
        <v>3.8</v>
      </c>
      <c r="S68" s="3">
        <f t="shared" ca="1" si="19"/>
        <v>10</v>
      </c>
    </row>
    <row r="69" spans="1:19" ht="15.75" customHeight="1" x14ac:dyDescent="0.25">
      <c r="A69" s="54">
        <v>45995</v>
      </c>
      <c r="B69" s="58">
        <f ca="1">IFERROR(__xludf.DUMMYFUNCTION("ifna(FILTER('Day Log'!B:B,'Day Log'!$A:$A=A69),"""")"),6584.84)</f>
        <v>6584.84</v>
      </c>
      <c r="C69" s="63">
        <f ca="1">IFERROR(__xludf.DUMMYFUNCTION("ifna(FILTER('Day Log'!C:C,'Day Log'!$A:$A=A69),"""")"),103)</f>
        <v>103</v>
      </c>
      <c r="D69" s="58">
        <f ca="1">IFERROR(__xludf.DUMMYFUNCTION("ifna(FILTER('Day Log'!D:D,'Day Log'!$A:$A=A69),"""")"),250.29)</f>
        <v>250.29</v>
      </c>
      <c r="E69" s="55">
        <f ca="1">IFERROR(__xludf.DUMMYFUNCTION("ifna(FILTER('Day Log'!E:E,'Day Log'!$A:$A=A69),"""")"),658.56)</f>
        <v>658.56</v>
      </c>
      <c r="F69" s="57">
        <f t="shared" si="20"/>
        <v>46175</v>
      </c>
      <c r="G69" s="58">
        <f t="shared" ca="1" si="21"/>
        <v>5675.99</v>
      </c>
      <c r="H69" s="55"/>
      <c r="I69" s="55"/>
      <c r="J69" s="55"/>
      <c r="K69" s="58">
        <f ca="1">IFERROR(__xludf.DUMMYFUNCTION("ifna(FILTER('Day Log'!H:H,'Day Log'!$A:$A=A69),"""")"),0)</f>
        <v>0</v>
      </c>
      <c r="L69" s="58">
        <f ca="1">IFERROR(__xludf.DUMMYFUNCTION("ifna(FILTER('Day Log'!I:I,'Day Log'!$A:$A=A69),"""")"),0)</f>
        <v>0</v>
      </c>
      <c r="M69" s="58">
        <f t="shared" ca="1" si="22"/>
        <v>0</v>
      </c>
      <c r="N69" s="55"/>
      <c r="O69" s="55"/>
      <c r="P69" s="58">
        <f t="shared" si="23"/>
        <v>0</v>
      </c>
      <c r="Q69" s="59">
        <f t="shared" ca="1" si="25"/>
        <v>94500.530000000013</v>
      </c>
      <c r="R69" s="3">
        <f t="shared" ca="1" si="4"/>
        <v>3.8</v>
      </c>
      <c r="S69" s="3">
        <f t="shared" ca="1" si="19"/>
        <v>10</v>
      </c>
    </row>
    <row r="70" spans="1:19" ht="15.75" customHeight="1" x14ac:dyDescent="0.25">
      <c r="A70" s="54">
        <v>45996</v>
      </c>
      <c r="B70" s="58">
        <f ca="1">IFERROR(__xludf.DUMMYFUNCTION("ifna(FILTER('Day Log'!B:B,'Day Log'!$A:$A=A70),"""")"),5848.86)</f>
        <v>5848.86</v>
      </c>
      <c r="C70" s="63">
        <f ca="1">IFERROR(__xludf.DUMMYFUNCTION("ifna(FILTER('Day Log'!C:C,'Day Log'!$A:$A=A70),"""")"),99)</f>
        <v>99</v>
      </c>
      <c r="D70" s="58">
        <f ca="1">IFERROR(__xludf.DUMMYFUNCTION("ifna(FILTER('Day Log'!D:D,'Day Log'!$A:$A=A70),"""")"),222.27)</f>
        <v>222.27</v>
      </c>
      <c r="E70" s="55">
        <f ca="1">IFERROR(__xludf.DUMMYFUNCTION("ifna(FILTER('Day Log'!E:E,'Day Log'!$A:$A=A70),"""")"),584.89)</f>
        <v>584.89</v>
      </c>
      <c r="F70" s="57">
        <f t="shared" si="20"/>
        <v>46176</v>
      </c>
      <c r="G70" s="58">
        <f t="shared" ca="1" si="21"/>
        <v>5041.6999999999989</v>
      </c>
      <c r="H70" s="55"/>
      <c r="I70" s="55"/>
      <c r="J70" s="55"/>
      <c r="K70" s="58">
        <f ca="1">IFERROR(__xludf.DUMMYFUNCTION("ifna(FILTER('Day Log'!H:H,'Day Log'!$A:$A=A70),"""")"),0)</f>
        <v>0</v>
      </c>
      <c r="L70" s="58">
        <f ca="1">IFERROR(__xludf.DUMMYFUNCTION("ifna(FILTER('Day Log'!I:I,'Day Log'!$A:$A=A70),"""")"),0)</f>
        <v>0</v>
      </c>
      <c r="M70" s="58">
        <f t="shared" ca="1" si="22"/>
        <v>0</v>
      </c>
      <c r="N70" s="55"/>
      <c r="O70" s="55"/>
      <c r="P70" s="58">
        <f t="shared" si="23"/>
        <v>0</v>
      </c>
      <c r="Q70" s="59">
        <f t="shared" ca="1" si="25"/>
        <v>99542.23000000001</v>
      </c>
      <c r="R70" s="3">
        <f t="shared" ca="1" si="4"/>
        <v>3.8</v>
      </c>
      <c r="S70" s="3">
        <f t="shared" ca="1" si="19"/>
        <v>10</v>
      </c>
    </row>
    <row r="71" spans="1:19" ht="15.75" customHeight="1" x14ac:dyDescent="0.25">
      <c r="A71" s="54">
        <v>45997</v>
      </c>
      <c r="B71" s="58">
        <f ca="1">IFERROR(__xludf.DUMMYFUNCTION("ifna(FILTER('Day Log'!B:B,'Day Log'!$A:$A=A71),"""")"),6327.2)</f>
        <v>6327.2</v>
      </c>
      <c r="C71" s="63">
        <f ca="1">IFERROR(__xludf.DUMMYFUNCTION("ifna(FILTER('Day Log'!C:C,'Day Log'!$A:$A=A71),"""")"),85)</f>
        <v>85</v>
      </c>
      <c r="D71" s="58">
        <f ca="1">IFERROR(__xludf.DUMMYFUNCTION("ifna(FILTER('Day Log'!D:D,'Day Log'!$A:$A=A71),"""")"),240.46)</f>
        <v>240.46</v>
      </c>
      <c r="E71" s="55">
        <f ca="1">IFERROR(__xludf.DUMMYFUNCTION("ifna(FILTER('Day Log'!E:E,'Day Log'!$A:$A=A71),"""")"),632.73)</f>
        <v>632.73</v>
      </c>
      <c r="F71" s="57">
        <f t="shared" si="20"/>
        <v>46177</v>
      </c>
      <c r="G71" s="58">
        <f t="shared" ca="1" si="21"/>
        <v>5454.01</v>
      </c>
      <c r="H71" s="55"/>
      <c r="I71" s="55"/>
      <c r="J71" s="55"/>
      <c r="K71" s="58">
        <f ca="1">IFERROR(__xludf.DUMMYFUNCTION("ifna(FILTER('Day Log'!H:H,'Day Log'!$A:$A=A71),"""")"),0)</f>
        <v>0</v>
      </c>
      <c r="L71" s="58">
        <f ca="1">IFERROR(__xludf.DUMMYFUNCTION("ifna(FILTER('Day Log'!I:I,'Day Log'!$A:$A=A71),"""")"),0)</f>
        <v>0</v>
      </c>
      <c r="M71" s="58">
        <f t="shared" ca="1" si="22"/>
        <v>0</v>
      </c>
      <c r="N71" s="55"/>
      <c r="O71" s="55"/>
      <c r="P71" s="58">
        <f t="shared" si="23"/>
        <v>0</v>
      </c>
      <c r="Q71" s="59">
        <f t="shared" ca="1" si="25"/>
        <v>104996.24</v>
      </c>
      <c r="R71" s="3">
        <f t="shared" ca="1" si="4"/>
        <v>3.8</v>
      </c>
      <c r="S71" s="3">
        <f t="shared" ca="1" si="19"/>
        <v>10</v>
      </c>
    </row>
    <row r="72" spans="1:19" ht="15.75" customHeight="1" x14ac:dyDescent="0.25">
      <c r="A72" s="54">
        <v>45998</v>
      </c>
      <c r="B72" s="58">
        <f ca="1">IFERROR(__xludf.DUMMYFUNCTION("ifna(FILTER('Day Log'!B:B,'Day Log'!$A:$A=A72),"""")"),5495.15)</f>
        <v>5495.15</v>
      </c>
      <c r="C72" s="63">
        <f ca="1">IFERROR(__xludf.DUMMYFUNCTION("ifna(FILTER('Day Log'!C:C,'Day Log'!$A:$A=A72),"""")"),76)</f>
        <v>76</v>
      </c>
      <c r="D72" s="58">
        <f ca="1">IFERROR(__xludf.DUMMYFUNCTION("ifna(FILTER('Day Log'!D:D,'Day Log'!$A:$A=A72),"""")"),208.79)</f>
        <v>208.79</v>
      </c>
      <c r="E72" s="55">
        <f ca="1">IFERROR(__xludf.DUMMYFUNCTION("ifna(FILTER('Day Log'!E:E,'Day Log'!$A:$A=A72),"""")"),549.51)</f>
        <v>549.51</v>
      </c>
      <c r="F72" s="57">
        <f t="shared" si="20"/>
        <v>46178</v>
      </c>
      <c r="G72" s="58">
        <f t="shared" ca="1" si="21"/>
        <v>4736.8499999999995</v>
      </c>
      <c r="H72" s="55"/>
      <c r="I72" s="55"/>
      <c r="J72" s="55"/>
      <c r="K72" s="58">
        <f ca="1">IFERROR(__xludf.DUMMYFUNCTION("ifna(FILTER('Day Log'!H:H,'Day Log'!$A:$A=A72),"""")"),0)</f>
        <v>0</v>
      </c>
      <c r="L72" s="58">
        <f ca="1">IFERROR(__xludf.DUMMYFUNCTION("ifna(FILTER('Day Log'!I:I,'Day Log'!$A:$A=A72),"""")"),0)</f>
        <v>0</v>
      </c>
      <c r="M72" s="58">
        <f t="shared" ca="1" si="22"/>
        <v>0</v>
      </c>
      <c r="N72" s="55"/>
      <c r="O72" s="55"/>
      <c r="P72" s="58">
        <f t="shared" si="23"/>
        <v>0</v>
      </c>
      <c r="Q72" s="59">
        <f t="shared" ca="1" si="25"/>
        <v>109733.09000000001</v>
      </c>
      <c r="R72" s="3">
        <f t="shared" ca="1" si="4"/>
        <v>3.8</v>
      </c>
      <c r="S72" s="3">
        <f t="shared" ca="1" si="19"/>
        <v>10</v>
      </c>
    </row>
    <row r="73" spans="1:19" ht="15.75" customHeight="1" x14ac:dyDescent="0.25">
      <c r="A73" s="54">
        <v>45999</v>
      </c>
      <c r="B73" s="58">
        <f ca="1">IFERROR(__xludf.DUMMYFUNCTION("ifna(FILTER('Day Log'!B:B,'Day Log'!$A:$A=A73),"""")"),3939.5)</f>
        <v>3939.5</v>
      </c>
      <c r="C73" s="63">
        <f ca="1">IFERROR(__xludf.DUMMYFUNCTION("ifna(FILTER('Day Log'!C:C,'Day Log'!$A:$A=A73),"""")"),82)</f>
        <v>82</v>
      </c>
      <c r="D73" s="58">
        <f ca="1">IFERROR(__xludf.DUMMYFUNCTION("ifna(FILTER('Day Log'!D:D,'Day Log'!$A:$A=A73),"""")"),149.68)</f>
        <v>149.68</v>
      </c>
      <c r="E73" s="55">
        <f ca="1">IFERROR(__xludf.DUMMYFUNCTION("ifna(FILTER('Day Log'!E:E,'Day Log'!$A:$A=A73),"""")"),393.93)</f>
        <v>393.93</v>
      </c>
      <c r="F73" s="57">
        <f t="shared" si="20"/>
        <v>46179</v>
      </c>
      <c r="G73" s="58">
        <f t="shared" ca="1" si="21"/>
        <v>3395.8900000000003</v>
      </c>
      <c r="H73" s="55"/>
      <c r="I73" s="55"/>
      <c r="J73" s="55"/>
      <c r="K73" s="58">
        <f ca="1">IFERROR(__xludf.DUMMYFUNCTION("ifna(FILTER('Day Log'!H:H,'Day Log'!$A:$A=A73),"""")"),0)</f>
        <v>0</v>
      </c>
      <c r="L73" s="58">
        <f ca="1">IFERROR(__xludf.DUMMYFUNCTION("ifna(FILTER('Day Log'!I:I,'Day Log'!$A:$A=A73),"""")"),0)</f>
        <v>0</v>
      </c>
      <c r="M73" s="58">
        <f t="shared" ca="1" si="22"/>
        <v>0</v>
      </c>
      <c r="N73" s="55"/>
      <c r="O73" s="55"/>
      <c r="P73" s="58">
        <f t="shared" si="23"/>
        <v>0</v>
      </c>
      <c r="Q73" s="59">
        <f t="shared" ca="1" si="25"/>
        <v>113128.98000000001</v>
      </c>
      <c r="R73" s="3">
        <f t="shared" ca="1" si="4"/>
        <v>3.8</v>
      </c>
      <c r="S73" s="3">
        <f t="shared" ca="1" si="19"/>
        <v>10</v>
      </c>
    </row>
    <row r="74" spans="1:19" ht="15.75" customHeight="1" x14ac:dyDescent="0.25">
      <c r="A74" s="54">
        <v>46000</v>
      </c>
      <c r="B74" s="58">
        <f ca="1">IFERROR(__xludf.DUMMYFUNCTION("ifna(FILTER('Day Log'!B:B,'Day Log'!$A:$A=A74),"""")"),5077.16)</f>
        <v>5077.16</v>
      </c>
      <c r="C74" s="63">
        <f ca="1">IFERROR(__xludf.DUMMYFUNCTION("ifna(FILTER('Day Log'!C:C,'Day Log'!$A:$A=A74),"""")"),78)</f>
        <v>78</v>
      </c>
      <c r="D74" s="58">
        <f ca="1">IFERROR(__xludf.DUMMYFUNCTION("ifna(FILTER('Day Log'!D:D,'Day Log'!$A:$A=A74),"""")"),192.95)</f>
        <v>192.95</v>
      </c>
      <c r="E74" s="55">
        <f ca="1">IFERROR(__xludf.DUMMYFUNCTION("ifna(FILTER('Day Log'!E:E,'Day Log'!$A:$A=A74),"""")"),507.73)</f>
        <v>507.73</v>
      </c>
      <c r="F74" s="57">
        <f t="shared" si="20"/>
        <v>46180</v>
      </c>
      <c r="G74" s="58">
        <f t="shared" ca="1" si="21"/>
        <v>4376.4799999999996</v>
      </c>
      <c r="H74" s="55">
        <f>Settl!B2</f>
        <v>113128.98</v>
      </c>
      <c r="I74" s="55"/>
      <c r="J74" s="55"/>
      <c r="K74" s="58">
        <f ca="1">IFERROR(__xludf.DUMMYFUNCTION("ifna(FILTER('Day Log'!H:H,'Day Log'!$A:$A=A74),"""")"),0)</f>
        <v>0</v>
      </c>
      <c r="L74" s="58">
        <f ca="1">IFERROR(__xludf.DUMMYFUNCTION("ifna(FILTER('Day Log'!I:I,'Day Log'!$A:$A=A74),"""")"),0)</f>
        <v>0</v>
      </c>
      <c r="M74" s="58">
        <f t="shared" ca="1" si="22"/>
        <v>0</v>
      </c>
      <c r="N74" s="55"/>
      <c r="O74" s="55"/>
      <c r="P74" s="58">
        <f t="shared" si="23"/>
        <v>0</v>
      </c>
      <c r="Q74" s="59">
        <f t="shared" ca="1" si="25"/>
        <v>4376.4800000000105</v>
      </c>
      <c r="R74" s="3">
        <f t="shared" ca="1" si="4"/>
        <v>3.8</v>
      </c>
      <c r="S74" s="3">
        <f t="shared" ca="1" si="19"/>
        <v>10</v>
      </c>
    </row>
    <row r="75" spans="1:19" ht="15.75" customHeight="1" x14ac:dyDescent="0.25">
      <c r="A75" s="54">
        <v>46001</v>
      </c>
      <c r="B75" s="58">
        <f ca="1">IFERROR(__xludf.DUMMYFUNCTION("ifna(FILTER('Day Log'!B:B,'Day Log'!$A:$A=A75),"""")"),5368.12)</f>
        <v>5368.12</v>
      </c>
      <c r="C75" s="63">
        <f ca="1">IFERROR(__xludf.DUMMYFUNCTION("ifna(FILTER('Day Log'!C:C,'Day Log'!$A:$A=A75),"""")"),85)</f>
        <v>85</v>
      </c>
      <c r="D75" s="58">
        <f ca="1">IFERROR(__xludf.DUMMYFUNCTION("ifna(FILTER('Day Log'!D:D,'Day Log'!$A:$A=A75),"""")"),204)</f>
        <v>204</v>
      </c>
      <c r="E75" s="55">
        <f ca="1">IFERROR(__xludf.DUMMYFUNCTION("ifna(FILTER('Day Log'!E:E,'Day Log'!$A:$A=A75),"""")"),536.86)</f>
        <v>536.86</v>
      </c>
      <c r="F75" s="57">
        <f t="shared" si="20"/>
        <v>46181</v>
      </c>
      <c r="G75" s="58">
        <f t="shared" ca="1" si="21"/>
        <v>4627.26</v>
      </c>
      <c r="H75" s="55"/>
      <c r="I75" s="55"/>
      <c r="J75" s="55"/>
      <c r="K75" s="58">
        <f ca="1">IFERROR(__xludf.DUMMYFUNCTION("ifna(FILTER('Day Log'!H:H,'Day Log'!$A:$A=A75),"""")"),0)</f>
        <v>0</v>
      </c>
      <c r="L75" s="58">
        <f ca="1">IFERROR(__xludf.DUMMYFUNCTION("ifna(FILTER('Day Log'!I:I,'Day Log'!$A:$A=A75),"""")"),0)</f>
        <v>0</v>
      </c>
      <c r="M75" s="58">
        <f t="shared" ca="1" si="22"/>
        <v>0</v>
      </c>
      <c r="N75" s="55"/>
      <c r="O75" s="55"/>
      <c r="P75" s="58">
        <f t="shared" si="23"/>
        <v>0</v>
      </c>
      <c r="Q75" s="59">
        <f t="shared" ca="1" si="25"/>
        <v>9003.7400000000107</v>
      </c>
      <c r="R75" s="7">
        <f t="shared" ca="1" si="4"/>
        <v>3.8</v>
      </c>
      <c r="S75" s="7">
        <f t="shared" ca="1" si="19"/>
        <v>10</v>
      </c>
    </row>
    <row r="76" spans="1:19" ht="15.75" customHeight="1" x14ac:dyDescent="0.25">
      <c r="A76" s="54">
        <v>46002</v>
      </c>
      <c r="B76" s="58">
        <f ca="1">IFERROR(__xludf.DUMMYFUNCTION("ifna(FILTER('Day Log'!B:B,'Day Log'!$A:$A=A76),"""")"),5766.63)</f>
        <v>5766.63</v>
      </c>
      <c r="C76" s="63">
        <f ca="1">IFERROR(__xludf.DUMMYFUNCTION("ifna(FILTER('Day Log'!C:C,'Day Log'!$A:$A=A76),"""")"),96)</f>
        <v>96</v>
      </c>
      <c r="D76" s="58">
        <f ca="1">IFERROR(__xludf.DUMMYFUNCTION("ifna(FILTER('Day Log'!D:D,'Day Log'!$A:$A=A76),"""")"),219.1)</f>
        <v>219.1</v>
      </c>
      <c r="E76" s="55">
        <f ca="1">IFERROR(__xludf.DUMMYFUNCTION("ifna(FILTER('Day Log'!E:E,'Day Log'!$A:$A=A76),"""")"),576.66)</f>
        <v>576.66</v>
      </c>
      <c r="F76" s="57">
        <f t="shared" si="20"/>
        <v>46182</v>
      </c>
      <c r="G76" s="58">
        <f t="shared" ca="1" si="21"/>
        <v>4970.87</v>
      </c>
      <c r="H76" s="55">
        <f>Settl!B3</f>
        <v>9003.74</v>
      </c>
      <c r="I76" s="55"/>
      <c r="J76" s="55"/>
      <c r="K76" s="58">
        <f ca="1">IFERROR(__xludf.DUMMYFUNCTION("ifna(FILTER('Day Log'!H:H,'Day Log'!$A:$A=A76),"""")"),0)</f>
        <v>0</v>
      </c>
      <c r="L76" s="58">
        <f ca="1">IFERROR(__xludf.DUMMYFUNCTION("ifna(FILTER('Day Log'!I:I,'Day Log'!$A:$A=A76),"""")"),0)</f>
        <v>0</v>
      </c>
      <c r="M76" s="58">
        <f t="shared" ca="1" si="22"/>
        <v>0</v>
      </c>
      <c r="N76" s="55"/>
      <c r="O76" s="55"/>
      <c r="P76" s="58">
        <f t="shared" si="23"/>
        <v>0</v>
      </c>
      <c r="Q76" s="59">
        <f t="shared" ca="1" si="25"/>
        <v>4970.8700000000117</v>
      </c>
      <c r="R76" s="3">
        <f t="shared" ca="1" si="4"/>
        <v>3.8</v>
      </c>
      <c r="S76" s="3">
        <f t="shared" ca="1" si="19"/>
        <v>10</v>
      </c>
    </row>
    <row r="77" spans="1:19" ht="15.75" customHeight="1" x14ac:dyDescent="0.25">
      <c r="A77" s="54">
        <v>46003</v>
      </c>
      <c r="B77" s="58">
        <f ca="1">IFERROR(__xludf.DUMMYFUNCTION("ifna(FILTER('Day Log'!B:B,'Day Log'!$A:$A=A77),"""")"),12121.51)</f>
        <v>12121.51</v>
      </c>
      <c r="C77" s="63">
        <f ca="1">IFERROR(__xludf.DUMMYFUNCTION("ifna(FILTER('Day Log'!C:C,'Day Log'!$A:$A=A77),"""")"),138)</f>
        <v>138</v>
      </c>
      <c r="D77" s="58">
        <f ca="1">IFERROR(__xludf.DUMMYFUNCTION("ifna(FILTER('Day Log'!D:D,'Day Log'!$A:$A=A77),"""")"),460.61)</f>
        <v>460.61</v>
      </c>
      <c r="E77" s="55">
        <f ca="1">IFERROR(__xludf.DUMMYFUNCTION("ifna(FILTER('Day Log'!E:E,'Day Log'!$A:$A=A77),"""")"),1212.18)</f>
        <v>1212.18</v>
      </c>
      <c r="F77" s="57">
        <f t="shared" si="20"/>
        <v>46183</v>
      </c>
      <c r="G77" s="58">
        <f t="shared" ca="1" si="21"/>
        <v>10448.719999999999</v>
      </c>
      <c r="H77" s="55"/>
      <c r="I77" s="55"/>
      <c r="J77" s="55"/>
      <c r="K77" s="58">
        <f ca="1">IFERROR(__xludf.DUMMYFUNCTION("ifna(FILTER('Day Log'!H:H,'Day Log'!$A:$A=A77),"""")"),0)</f>
        <v>0</v>
      </c>
      <c r="L77" s="58">
        <f ca="1">IFERROR(__xludf.DUMMYFUNCTION("ifna(FILTER('Day Log'!I:I,'Day Log'!$A:$A=A77),"""")"),0)</f>
        <v>0</v>
      </c>
      <c r="M77" s="58">
        <f t="shared" ca="1" si="22"/>
        <v>0</v>
      </c>
      <c r="N77" s="55"/>
      <c r="O77" s="55"/>
      <c r="P77" s="58">
        <f t="shared" si="23"/>
        <v>0</v>
      </c>
      <c r="Q77" s="59">
        <f t="shared" ca="1" si="25"/>
        <v>15419.590000000011</v>
      </c>
      <c r="R77" s="3">
        <f t="shared" ca="1" si="4"/>
        <v>3.8</v>
      </c>
      <c r="S77" s="3">
        <f t="shared" ca="1" si="19"/>
        <v>10</v>
      </c>
    </row>
    <row r="78" spans="1:19" ht="15.75" customHeight="1" x14ac:dyDescent="0.25">
      <c r="A78" s="54">
        <v>46004</v>
      </c>
      <c r="B78" s="58">
        <f ca="1">IFERROR(__xludf.DUMMYFUNCTION("ifna(FILTER('Day Log'!B:B,'Day Log'!$A:$A=A78),"""")"),7229.93)</f>
        <v>7229.93</v>
      </c>
      <c r="C78" s="63">
        <f ca="1">IFERROR(__xludf.DUMMYFUNCTION("ifna(FILTER('Day Log'!C:C,'Day Log'!$A:$A=A78),"""")"),78)</f>
        <v>78</v>
      </c>
      <c r="D78" s="58">
        <f ca="1">IFERROR(__xludf.DUMMYFUNCTION("ifna(FILTER('Day Log'!D:D,'Day Log'!$A:$A=A78),"""")"),274.74)</f>
        <v>274.74</v>
      </c>
      <c r="E78" s="55">
        <f ca="1">IFERROR(__xludf.DUMMYFUNCTION("ifna(FILTER('Day Log'!E:E,'Day Log'!$A:$A=A78),"""")"),723.04)</f>
        <v>723.04</v>
      </c>
      <c r="F78" s="57">
        <f t="shared" si="20"/>
        <v>46184</v>
      </c>
      <c r="G78" s="58">
        <f t="shared" ca="1" si="21"/>
        <v>6232.1500000000005</v>
      </c>
      <c r="H78" s="55"/>
      <c r="I78" s="55"/>
      <c r="J78" s="55"/>
      <c r="K78" s="58">
        <f ca="1">IFERROR(__xludf.DUMMYFUNCTION("ifna(FILTER('Day Log'!H:H,'Day Log'!$A:$A=A78),"""")"),0)</f>
        <v>0</v>
      </c>
      <c r="L78" s="58">
        <f ca="1">IFERROR(__xludf.DUMMYFUNCTION("ifna(FILTER('Day Log'!I:I,'Day Log'!$A:$A=A78),"""")"),0)</f>
        <v>0</v>
      </c>
      <c r="M78" s="58">
        <f t="shared" ca="1" si="22"/>
        <v>0</v>
      </c>
      <c r="N78" s="55"/>
      <c r="O78" s="55"/>
      <c r="P78" s="58">
        <f t="shared" si="23"/>
        <v>0</v>
      </c>
      <c r="Q78" s="59">
        <f t="shared" ca="1" si="25"/>
        <v>21651.740000000013</v>
      </c>
      <c r="R78" s="3">
        <f t="shared" ca="1" si="4"/>
        <v>3.8</v>
      </c>
      <c r="S78" s="3">
        <f t="shared" ca="1" si="19"/>
        <v>10</v>
      </c>
    </row>
    <row r="79" spans="1:19" ht="15.75" customHeight="1" x14ac:dyDescent="0.25">
      <c r="A79" s="54">
        <v>46005</v>
      </c>
      <c r="B79" s="58">
        <f ca="1">IFERROR(__xludf.DUMMYFUNCTION("ifna(FILTER('Day Log'!B:B,'Day Log'!$A:$A=A79),"""")"),4296.79)</f>
        <v>4296.79</v>
      </c>
      <c r="C79" s="63">
        <f ca="1">IFERROR(__xludf.DUMMYFUNCTION("ifna(FILTER('Day Log'!C:C,'Day Log'!$A:$A=A79),"""")"),68)</f>
        <v>68</v>
      </c>
      <c r="D79" s="58">
        <f ca="1">IFERROR(__xludf.DUMMYFUNCTION("ifna(FILTER('Day Log'!D:D,'Day Log'!$A:$A=A79),"""")"),163.29)</f>
        <v>163.29</v>
      </c>
      <c r="E79" s="55">
        <f ca="1">IFERROR(__xludf.DUMMYFUNCTION("ifna(FILTER('Day Log'!E:E,'Day Log'!$A:$A=A79),"""")"),429.69)</f>
        <v>429.69</v>
      </c>
      <c r="F79" s="57">
        <f t="shared" si="20"/>
        <v>46185</v>
      </c>
      <c r="G79" s="58">
        <f t="shared" ca="1" si="21"/>
        <v>3703.81</v>
      </c>
      <c r="H79" s="55"/>
      <c r="I79" s="55"/>
      <c r="J79" s="55"/>
      <c r="K79" s="58">
        <f ca="1">IFERROR(__xludf.DUMMYFUNCTION("ifna(FILTER('Day Log'!H:H,'Day Log'!$A:$A=A79),"""")"),0)</f>
        <v>0</v>
      </c>
      <c r="L79" s="58">
        <f ca="1">IFERROR(__xludf.DUMMYFUNCTION("ifna(FILTER('Day Log'!I:I,'Day Log'!$A:$A=A79),"""")"),0)</f>
        <v>0</v>
      </c>
      <c r="M79" s="58">
        <f t="shared" ca="1" si="22"/>
        <v>0</v>
      </c>
      <c r="N79" s="55"/>
      <c r="O79" s="55"/>
      <c r="P79" s="58">
        <f t="shared" si="23"/>
        <v>0</v>
      </c>
      <c r="Q79" s="59">
        <f t="shared" ca="1" si="25"/>
        <v>25355.550000000014</v>
      </c>
      <c r="R79" s="3">
        <f t="shared" ca="1" si="4"/>
        <v>3.8</v>
      </c>
      <c r="S79" s="3">
        <f t="shared" ca="1" si="19"/>
        <v>10</v>
      </c>
    </row>
    <row r="80" spans="1:19" ht="15.75" customHeight="1" x14ac:dyDescent="0.25">
      <c r="A80" s="54">
        <v>46006</v>
      </c>
      <c r="B80" s="58">
        <f ca="1">IFERROR(__xludf.DUMMYFUNCTION("ifna(FILTER('Day Log'!B:B,'Day Log'!$A:$A=A80),"""")"),5445.48)</f>
        <v>5445.48</v>
      </c>
      <c r="C80" s="63">
        <f ca="1">IFERROR(__xludf.DUMMYFUNCTION("ifna(FILTER('Day Log'!C:C,'Day Log'!$A:$A=A80),"""")"),102)</f>
        <v>102</v>
      </c>
      <c r="D80" s="58">
        <f ca="1">IFERROR(__xludf.DUMMYFUNCTION("ifna(FILTER('Day Log'!D:D,'Day Log'!$A:$A=A80),"""")"),206.88)</f>
        <v>206.88</v>
      </c>
      <c r="E80" s="55">
        <f ca="1">IFERROR(__xludf.DUMMYFUNCTION("ifna(FILTER('Day Log'!E:E,'Day Log'!$A:$A=A80),"""")"),544.57)</f>
        <v>544.57000000000005</v>
      </c>
      <c r="F80" s="57">
        <f t="shared" si="20"/>
        <v>46186</v>
      </c>
      <c r="G80" s="58">
        <f t="shared" ca="1" si="21"/>
        <v>4694.03</v>
      </c>
      <c r="H80" s="55">
        <f>Settl!B4</f>
        <v>25355.55</v>
      </c>
      <c r="I80" s="55"/>
      <c r="J80" s="55"/>
      <c r="K80" s="58">
        <f ca="1">IFERROR(__xludf.DUMMYFUNCTION("ifna(FILTER('Day Log'!H:H,'Day Log'!$A:$A=A80),"""")"),0)</f>
        <v>0</v>
      </c>
      <c r="L80" s="58">
        <f ca="1">IFERROR(__xludf.DUMMYFUNCTION("ifna(FILTER('Day Log'!I:I,'Day Log'!$A:$A=A80),"""")"),0)</f>
        <v>0</v>
      </c>
      <c r="M80" s="58">
        <f t="shared" ca="1" si="22"/>
        <v>0</v>
      </c>
      <c r="N80" s="55"/>
      <c r="O80" s="55"/>
      <c r="P80" s="58">
        <f t="shared" si="23"/>
        <v>0</v>
      </c>
      <c r="Q80" s="59">
        <f t="shared" ca="1" si="25"/>
        <v>4694.0300000000134</v>
      </c>
      <c r="R80" s="3">
        <f t="shared" ca="1" si="4"/>
        <v>3.8</v>
      </c>
      <c r="S80" s="3">
        <f t="shared" ca="1" si="19"/>
        <v>10</v>
      </c>
    </row>
    <row r="81" spans="1:19" ht="15.75" customHeight="1" x14ac:dyDescent="0.25">
      <c r="A81" s="54">
        <v>46007</v>
      </c>
      <c r="B81" s="58">
        <f ca="1">IFERROR(__xludf.DUMMYFUNCTION("ifna(FILTER('Day Log'!B:B,'Day Log'!$A:$A=A81),"""")"),5320.14)</f>
        <v>5320.14</v>
      </c>
      <c r="C81" s="63">
        <f ca="1">IFERROR(__xludf.DUMMYFUNCTION("ifna(FILTER('Day Log'!C:C,'Day Log'!$A:$A=A81),"""")"),77)</f>
        <v>77</v>
      </c>
      <c r="D81" s="58">
        <f ca="1">IFERROR(__xludf.DUMMYFUNCTION("ifna(FILTER('Day Log'!D:D,'Day Log'!$A:$A=A81),"""")"),202.16)</f>
        <v>202.16</v>
      </c>
      <c r="E81" s="55">
        <f ca="1">IFERROR(__xludf.DUMMYFUNCTION("ifna(FILTER('Day Log'!E:E,'Day Log'!$A:$A=A81),"""")"),532.03)</f>
        <v>532.03</v>
      </c>
      <c r="F81" s="57">
        <f t="shared" si="20"/>
        <v>46187</v>
      </c>
      <c r="G81" s="58">
        <f t="shared" ca="1" si="21"/>
        <v>4585.9500000000007</v>
      </c>
      <c r="H81" s="55"/>
      <c r="I81" s="55"/>
      <c r="J81" s="55"/>
      <c r="K81" s="58">
        <f ca="1">IFERROR(__xludf.DUMMYFUNCTION("ifna(FILTER('Day Log'!H:H,'Day Log'!$A:$A=A81),"""")"),0)</f>
        <v>0</v>
      </c>
      <c r="L81" s="58">
        <f ca="1">IFERROR(__xludf.DUMMYFUNCTION("ifna(FILTER('Day Log'!I:I,'Day Log'!$A:$A=A81),"""")"),0)</f>
        <v>0</v>
      </c>
      <c r="M81" s="58">
        <f t="shared" ca="1" si="22"/>
        <v>0</v>
      </c>
      <c r="N81" s="55"/>
      <c r="O81" s="55"/>
      <c r="P81" s="58">
        <f t="shared" si="23"/>
        <v>0</v>
      </c>
      <c r="Q81" s="59">
        <f t="shared" ca="1" si="25"/>
        <v>9279.9800000000141</v>
      </c>
      <c r="R81" s="3">
        <f t="shared" ca="1" si="4"/>
        <v>3.8</v>
      </c>
      <c r="S81" s="3">
        <f t="shared" ca="1" si="19"/>
        <v>10</v>
      </c>
    </row>
    <row r="82" spans="1:19" ht="15.75" customHeight="1" x14ac:dyDescent="0.25">
      <c r="A82" s="54">
        <v>46008</v>
      </c>
      <c r="B82" s="58">
        <f ca="1">IFERROR(__xludf.DUMMYFUNCTION("ifna(FILTER('Day Log'!B:B,'Day Log'!$A:$A=A82),"""")"),5094.31)</f>
        <v>5094.3100000000004</v>
      </c>
      <c r="C82" s="63">
        <f ca="1">IFERROR(__xludf.DUMMYFUNCTION("ifna(FILTER('Day Log'!C:C,'Day Log'!$A:$A=A82),"""")"),73)</f>
        <v>73</v>
      </c>
      <c r="D82" s="58">
        <f ca="1">IFERROR(__xludf.DUMMYFUNCTION("ifna(FILTER('Day Log'!D:D,'Day Log'!$A:$A=A82),"""")"),193.58)</f>
        <v>193.58</v>
      </c>
      <c r="E82" s="55">
        <f ca="1">IFERROR(__xludf.DUMMYFUNCTION("ifna(FILTER('Day Log'!E:E,'Day Log'!$A:$A=A82),"""")"),509.43)</f>
        <v>509.43</v>
      </c>
      <c r="F82" s="57">
        <f t="shared" si="20"/>
        <v>46188</v>
      </c>
      <c r="G82" s="58">
        <f t="shared" ca="1" si="21"/>
        <v>4391.3</v>
      </c>
      <c r="H82" s="55"/>
      <c r="I82" s="55"/>
      <c r="J82" s="55"/>
      <c r="K82" s="58">
        <f ca="1">IFERROR(__xludf.DUMMYFUNCTION("ifna(FILTER('Day Log'!H:H,'Day Log'!$A:$A=A82),"""")"),0)</f>
        <v>0</v>
      </c>
      <c r="L82" s="58">
        <f ca="1">IFERROR(__xludf.DUMMYFUNCTION("ifna(FILTER('Day Log'!I:I,'Day Log'!$A:$A=A82),"""")"),0)</f>
        <v>0</v>
      </c>
      <c r="M82" s="58">
        <f t="shared" ca="1" si="22"/>
        <v>0</v>
      </c>
      <c r="N82" s="55"/>
      <c r="O82" s="55"/>
      <c r="P82" s="58">
        <f t="shared" si="23"/>
        <v>0</v>
      </c>
      <c r="Q82" s="59">
        <f t="shared" ca="1" si="25"/>
        <v>13671.280000000013</v>
      </c>
      <c r="R82" s="3">
        <f t="shared" ca="1" si="4"/>
        <v>3.8</v>
      </c>
      <c r="S82" s="3">
        <f t="shared" ca="1" si="19"/>
        <v>10</v>
      </c>
    </row>
    <row r="83" spans="1:19" ht="15.75" customHeight="1" x14ac:dyDescent="0.25">
      <c r="A83" s="54">
        <v>46009</v>
      </c>
      <c r="B83" s="58">
        <f ca="1">IFERROR(__xludf.DUMMYFUNCTION("ifna(FILTER('Day Log'!B:B,'Day Log'!$A:$A=A83),"""")"),6735.5)</f>
        <v>6735.5</v>
      </c>
      <c r="C83" s="63">
        <f ca="1">IFERROR(__xludf.DUMMYFUNCTION("ifna(FILTER('Day Log'!C:C,'Day Log'!$A:$A=A83),"""")"),91)</f>
        <v>91</v>
      </c>
      <c r="D83" s="58">
        <f ca="1">IFERROR(__xludf.DUMMYFUNCTION("ifna(FILTER('Day Log'!D:D,'Day Log'!$A:$A=A83),"""")"),255.98)</f>
        <v>255.98</v>
      </c>
      <c r="E83" s="55">
        <f ca="1">IFERROR(__xludf.DUMMYFUNCTION("ifna(FILTER('Day Log'!E:E,'Day Log'!$A:$A=A83),"""")"),673.55)</f>
        <v>673.55</v>
      </c>
      <c r="F83" s="57">
        <f t="shared" si="20"/>
        <v>46189</v>
      </c>
      <c r="G83" s="58">
        <f t="shared" ca="1" si="21"/>
        <v>5805.97</v>
      </c>
      <c r="H83" s="55">
        <f>Settl!B5</f>
        <v>13671.28</v>
      </c>
      <c r="I83" s="55"/>
      <c r="J83" s="55"/>
      <c r="K83" s="58">
        <f ca="1">IFERROR(__xludf.DUMMYFUNCTION("ifna(FILTER('Day Log'!H:H,'Day Log'!$A:$A=A83),"""")"),0)</f>
        <v>0</v>
      </c>
      <c r="L83" s="58">
        <f ca="1">IFERROR(__xludf.DUMMYFUNCTION("ifna(FILTER('Day Log'!I:I,'Day Log'!$A:$A=A83),"""")"),0)</f>
        <v>0</v>
      </c>
      <c r="M83" s="58">
        <f t="shared" ca="1" si="22"/>
        <v>0</v>
      </c>
      <c r="N83" s="55"/>
      <c r="O83" s="55"/>
      <c r="P83" s="58">
        <f t="shared" si="23"/>
        <v>0</v>
      </c>
      <c r="Q83" s="59">
        <f t="shared" ca="1" si="25"/>
        <v>5805.9700000000139</v>
      </c>
      <c r="R83" s="3">
        <f t="shared" ca="1" si="4"/>
        <v>3.8</v>
      </c>
      <c r="S83" s="3">
        <f t="shared" ca="1" si="19"/>
        <v>10</v>
      </c>
    </row>
    <row r="84" spans="1:19" ht="15.75" customHeight="1" x14ac:dyDescent="0.25">
      <c r="A84" s="54">
        <v>46010</v>
      </c>
      <c r="B84" s="58">
        <f ca="1">IFERROR(__xludf.DUMMYFUNCTION("ifna(FILTER('Day Log'!B:B,'Day Log'!$A:$A=A84),"""")"),11006.88)</f>
        <v>11006.88</v>
      </c>
      <c r="C84" s="63">
        <f ca="1">IFERROR(__xludf.DUMMYFUNCTION("ifna(FILTER('Day Log'!C:C,'Day Log'!$A:$A=A84),"""")"),109)</f>
        <v>109</v>
      </c>
      <c r="D84" s="58">
        <f ca="1">IFERROR(__xludf.DUMMYFUNCTION("ifna(FILTER('Day Log'!D:D,'Day Log'!$A:$A=A84),"""")"),418.26)</f>
        <v>418.26</v>
      </c>
      <c r="E84" s="55">
        <f ca="1">IFERROR(__xludf.DUMMYFUNCTION("ifna(FILTER('Day Log'!E:E,'Day Log'!$A:$A=A84),"""")"),1100.7)</f>
        <v>1100.7</v>
      </c>
      <c r="F84" s="57">
        <f t="shared" si="20"/>
        <v>46190</v>
      </c>
      <c r="G84" s="58">
        <f t="shared" ca="1" si="21"/>
        <v>9487.9199999999983</v>
      </c>
      <c r="H84" s="55"/>
      <c r="I84" s="55"/>
      <c r="J84" s="55"/>
      <c r="K84" s="58">
        <f ca="1">IFERROR(__xludf.DUMMYFUNCTION("ifna(FILTER('Day Log'!H:H,'Day Log'!$A:$A=A84),"""")"),0)</f>
        <v>0</v>
      </c>
      <c r="L84" s="58">
        <f ca="1">IFERROR(__xludf.DUMMYFUNCTION("ifna(FILTER('Day Log'!I:I,'Day Log'!$A:$A=A84),"""")"),0)</f>
        <v>0</v>
      </c>
      <c r="M84" s="58">
        <f t="shared" ca="1" si="22"/>
        <v>0</v>
      </c>
      <c r="N84" s="55"/>
      <c r="O84" s="55"/>
      <c r="P84" s="58">
        <f t="shared" si="23"/>
        <v>0</v>
      </c>
      <c r="Q84" s="59">
        <f t="shared" ca="1" si="25"/>
        <v>15293.890000000012</v>
      </c>
      <c r="R84" s="3">
        <f t="shared" ca="1" si="4"/>
        <v>3.8</v>
      </c>
      <c r="S84" s="3">
        <f t="shared" ca="1" si="19"/>
        <v>10</v>
      </c>
    </row>
    <row r="85" spans="1:19" ht="15.75" customHeight="1" x14ac:dyDescent="0.25">
      <c r="A85" s="54">
        <v>46011</v>
      </c>
      <c r="B85" s="58">
        <f ca="1">IFERROR(__xludf.DUMMYFUNCTION("ifna(FILTER('Day Log'!B:B,'Day Log'!$A:$A=A85),"""")"),6655)</f>
        <v>6655</v>
      </c>
      <c r="C85" s="63">
        <f ca="1">IFERROR(__xludf.DUMMYFUNCTION("ifna(FILTER('Day Log'!C:C,'Day Log'!$A:$A=A85),"""")"),93)</f>
        <v>93</v>
      </c>
      <c r="D85" s="58">
        <f ca="1">IFERROR(__xludf.DUMMYFUNCTION("ifna(FILTER('Day Log'!D:D,'Day Log'!$A:$A=A85),"""")"),252.88)</f>
        <v>252.88</v>
      </c>
      <c r="E85" s="55">
        <f ca="1">IFERROR(__xludf.DUMMYFUNCTION("ifna(FILTER('Day Log'!E:E,'Day Log'!$A:$A=A85),"""")"),665.5)</f>
        <v>665.5</v>
      </c>
      <c r="F85" s="57">
        <f t="shared" si="20"/>
        <v>46191</v>
      </c>
      <c r="G85" s="58">
        <f t="shared" ca="1" si="21"/>
        <v>5736.62</v>
      </c>
      <c r="H85" s="55"/>
      <c r="I85" s="55"/>
      <c r="J85" s="55"/>
      <c r="K85" s="58">
        <f ca="1">IFERROR(__xludf.DUMMYFUNCTION("ifna(FILTER('Day Log'!H:H,'Day Log'!$A:$A=A85),"""")"),0)</f>
        <v>0</v>
      </c>
      <c r="L85" s="58">
        <f ca="1">IFERROR(__xludf.DUMMYFUNCTION("ifna(FILTER('Day Log'!I:I,'Day Log'!$A:$A=A85),"""")"),0)</f>
        <v>0</v>
      </c>
      <c r="M85" s="58">
        <f t="shared" ca="1" si="22"/>
        <v>0</v>
      </c>
      <c r="N85" s="55"/>
      <c r="O85" s="55"/>
      <c r="P85" s="58">
        <f t="shared" si="23"/>
        <v>0</v>
      </c>
      <c r="Q85" s="59">
        <f t="shared" ca="1" si="25"/>
        <v>21030.510000000013</v>
      </c>
      <c r="R85" s="3">
        <f t="shared" ca="1" si="4"/>
        <v>3.8</v>
      </c>
      <c r="S85" s="3">
        <f t="shared" ca="1" si="19"/>
        <v>10</v>
      </c>
    </row>
    <row r="86" spans="1:19" ht="15.75" customHeight="1" x14ac:dyDescent="0.25">
      <c r="A86" s="54">
        <v>46012</v>
      </c>
      <c r="B86" s="58">
        <f ca="1">IFERROR(__xludf.DUMMYFUNCTION("ifna(FILTER('Day Log'!B:B,'Day Log'!$A:$A=A86),"""")"),4681.16)</f>
        <v>4681.16</v>
      </c>
      <c r="C86" s="63">
        <f ca="1">IFERROR(__xludf.DUMMYFUNCTION("ifna(FILTER('Day Log'!C:C,'Day Log'!$A:$A=A86),"""")"),88)</f>
        <v>88</v>
      </c>
      <c r="D86" s="58">
        <f ca="1">IFERROR(__xludf.DUMMYFUNCTION("ifna(FILTER('Day Log'!D:D,'Day Log'!$A:$A=A86),"""")"),177.9)</f>
        <v>177.9</v>
      </c>
      <c r="E86" s="55">
        <f ca="1">IFERROR(__xludf.DUMMYFUNCTION("ifna(FILTER('Day Log'!E:E,'Day Log'!$A:$A=A86),"""")"),468.13)</f>
        <v>468.13</v>
      </c>
      <c r="F86" s="57">
        <f t="shared" si="20"/>
        <v>46192</v>
      </c>
      <c r="G86" s="58">
        <f t="shared" ca="1" si="21"/>
        <v>4035.13</v>
      </c>
      <c r="H86" s="55"/>
      <c r="I86" s="55"/>
      <c r="J86" s="55"/>
      <c r="K86" s="58">
        <f ca="1">IFERROR(__xludf.DUMMYFUNCTION("ifna(FILTER('Day Log'!H:H,'Day Log'!$A:$A=A86),"""")"),0)</f>
        <v>0</v>
      </c>
      <c r="L86" s="58">
        <f ca="1">IFERROR(__xludf.DUMMYFUNCTION("ifna(FILTER('Day Log'!I:I,'Day Log'!$A:$A=A86),"""")"),0)</f>
        <v>0</v>
      </c>
      <c r="M86" s="58">
        <f t="shared" ca="1" si="22"/>
        <v>0</v>
      </c>
      <c r="N86" s="55"/>
      <c r="O86" s="55"/>
      <c r="P86" s="58">
        <f t="shared" si="23"/>
        <v>0</v>
      </c>
      <c r="Q86" s="59">
        <f t="shared" ca="1" si="25"/>
        <v>25065.640000000014</v>
      </c>
      <c r="R86" s="3">
        <f t="shared" ca="1" si="4"/>
        <v>3.8</v>
      </c>
      <c r="S86" s="3">
        <f t="shared" ca="1" si="19"/>
        <v>10</v>
      </c>
    </row>
    <row r="87" spans="1:19" ht="15.75" customHeight="1" x14ac:dyDescent="0.25">
      <c r="A87" s="54">
        <v>46013</v>
      </c>
      <c r="B87" s="58">
        <f ca="1">IFERROR(__xludf.DUMMYFUNCTION("ifna(FILTER('Day Log'!B:B,'Day Log'!$A:$A=A87),"""")"),8090.19)</f>
        <v>8090.19</v>
      </c>
      <c r="C87" s="63">
        <f ca="1">IFERROR(__xludf.DUMMYFUNCTION("ifna(FILTER('Day Log'!C:C,'Day Log'!$A:$A=A87),"""")"),106)</f>
        <v>106</v>
      </c>
      <c r="D87" s="58">
        <f ca="1">IFERROR(__xludf.DUMMYFUNCTION("ifna(FILTER('Day Log'!D:D,'Day Log'!$A:$A=A87),"""")"),307.46)</f>
        <v>307.45999999999998</v>
      </c>
      <c r="E87" s="55">
        <f ca="1">IFERROR(__xludf.DUMMYFUNCTION("ifna(FILTER('Day Log'!E:E,'Day Log'!$A:$A=A87),"""")"),809.02)</f>
        <v>809.02</v>
      </c>
      <c r="F87" s="57">
        <f t="shared" si="20"/>
        <v>46193</v>
      </c>
      <c r="G87" s="58">
        <f t="shared" ca="1" si="21"/>
        <v>6973.7099999999991</v>
      </c>
      <c r="H87" s="55">
        <f>Settl!B6</f>
        <v>25065.64</v>
      </c>
      <c r="I87" s="55"/>
      <c r="J87" s="55"/>
      <c r="K87" s="58">
        <f ca="1">IFERROR(__xludf.DUMMYFUNCTION("ifna(FILTER('Day Log'!H:H,'Day Log'!$A:$A=A87),"""")"),0)</f>
        <v>0</v>
      </c>
      <c r="L87" s="58">
        <f ca="1">IFERROR(__xludf.DUMMYFUNCTION("ifna(FILTER('Day Log'!I:I,'Day Log'!$A:$A=A87),"""")"),0)</f>
        <v>0</v>
      </c>
      <c r="M87" s="58">
        <f t="shared" ca="1" si="22"/>
        <v>0</v>
      </c>
      <c r="N87" s="55"/>
      <c r="O87" s="55"/>
      <c r="P87" s="58">
        <f t="shared" si="23"/>
        <v>0</v>
      </c>
      <c r="Q87" s="59">
        <f t="shared" ca="1" si="25"/>
        <v>6973.7100000000137</v>
      </c>
      <c r="R87" s="3">
        <f t="shared" ca="1" si="4"/>
        <v>3.8</v>
      </c>
      <c r="S87" s="3">
        <f t="shared" ca="1" si="19"/>
        <v>10</v>
      </c>
    </row>
    <row r="88" spans="1:19" ht="15.75" customHeight="1" x14ac:dyDescent="0.25">
      <c r="A88" s="54">
        <v>46014</v>
      </c>
      <c r="B88" s="58">
        <f ca="1">IFERROR(__xludf.DUMMYFUNCTION("ifna(FILTER('Day Log'!B:B,'Day Log'!$A:$A=A88),"""")"),10185.45)</f>
        <v>10185.450000000001</v>
      </c>
      <c r="C88" s="63">
        <f ca="1">IFERROR(__xludf.DUMMYFUNCTION("ifna(FILTER('Day Log'!C:C,'Day Log'!$A:$A=A88),"""")"),100)</f>
        <v>100</v>
      </c>
      <c r="D88" s="58">
        <f ca="1">IFERROR(__xludf.DUMMYFUNCTION("ifna(FILTER('Day Log'!D:D,'Day Log'!$A:$A=A88),"""")"),387.02)</f>
        <v>387.02</v>
      </c>
      <c r="E88" s="55">
        <f ca="1">IFERROR(__xludf.DUMMYFUNCTION("ifna(FILTER('Day Log'!E:E,'Day Log'!$A:$A=A88),"""")"),1018.57)</f>
        <v>1018.57</v>
      </c>
      <c r="F88" s="57">
        <f t="shared" si="20"/>
        <v>46194</v>
      </c>
      <c r="G88" s="58">
        <f t="shared" ca="1" si="21"/>
        <v>8779.86</v>
      </c>
      <c r="H88" s="55"/>
      <c r="I88" s="55"/>
      <c r="J88" s="55"/>
      <c r="K88" s="58">
        <f ca="1">IFERROR(__xludf.DUMMYFUNCTION("ifna(FILTER('Day Log'!H:H,'Day Log'!$A:$A=A88),"""")"),0)</f>
        <v>0</v>
      </c>
      <c r="L88" s="58">
        <f ca="1">IFERROR(__xludf.DUMMYFUNCTION("ifna(FILTER('Day Log'!I:I,'Day Log'!$A:$A=A88),"""")"),0)</f>
        <v>0</v>
      </c>
      <c r="M88" s="58">
        <f t="shared" ca="1" si="22"/>
        <v>0</v>
      </c>
      <c r="N88" s="55"/>
      <c r="O88" s="55"/>
      <c r="P88" s="58">
        <f t="shared" si="23"/>
        <v>0</v>
      </c>
      <c r="Q88" s="59">
        <f t="shared" ca="1" si="25"/>
        <v>15753.570000000014</v>
      </c>
      <c r="R88" s="3">
        <f t="shared" ca="1" si="4"/>
        <v>3.8</v>
      </c>
      <c r="S88" s="3">
        <f t="shared" ca="1" si="19"/>
        <v>10</v>
      </c>
    </row>
    <row r="89" spans="1:19" ht="15.75" customHeight="1" x14ac:dyDescent="0.25">
      <c r="A89" s="54">
        <v>46015</v>
      </c>
      <c r="B89" s="58">
        <f ca="1">IFERROR(__xludf.DUMMYFUNCTION("ifna(FILTER('Day Log'!B:B,'Day Log'!$A:$A=A89),"""")"),5721.08)</f>
        <v>5721.08</v>
      </c>
      <c r="C89" s="63">
        <f ca="1">IFERROR(__xludf.DUMMYFUNCTION("ifna(FILTER('Day Log'!C:C,'Day Log'!$A:$A=A89),"""")"),86)</f>
        <v>86</v>
      </c>
      <c r="D89" s="58">
        <f ca="1">IFERROR(__xludf.DUMMYFUNCTION("ifna(FILTER('Day Log'!D:D,'Day Log'!$A:$A=A89),"""")"),217.39)</f>
        <v>217.39</v>
      </c>
      <c r="E89" s="55">
        <f ca="1">IFERROR(__xludf.DUMMYFUNCTION("ifna(FILTER('Day Log'!E:E,'Day Log'!$A:$A=A89),"""")"),572.12)</f>
        <v>572.12</v>
      </c>
      <c r="F89" s="57">
        <f t="shared" si="20"/>
        <v>46195</v>
      </c>
      <c r="G89" s="58">
        <f t="shared" ca="1" si="21"/>
        <v>4931.57</v>
      </c>
      <c r="H89" s="55"/>
      <c r="I89" s="55"/>
      <c r="J89" s="55"/>
      <c r="K89" s="58">
        <f ca="1">IFERROR(__xludf.DUMMYFUNCTION("ifna(FILTER('Day Log'!H:H,'Day Log'!$A:$A=A89),"""")"),0)</f>
        <v>0</v>
      </c>
      <c r="L89" s="58">
        <f ca="1">IFERROR(__xludf.DUMMYFUNCTION("ifna(FILTER('Day Log'!I:I,'Day Log'!$A:$A=A89),"""")"),0)</f>
        <v>0</v>
      </c>
      <c r="M89" s="58">
        <f t="shared" ca="1" si="22"/>
        <v>0</v>
      </c>
      <c r="N89" s="55"/>
      <c r="O89" s="55"/>
      <c r="P89" s="58">
        <f t="shared" si="23"/>
        <v>0</v>
      </c>
      <c r="Q89" s="59">
        <f t="shared" ca="1" si="25"/>
        <v>20685.140000000014</v>
      </c>
      <c r="R89" s="3">
        <f t="shared" ca="1" si="4"/>
        <v>3.8</v>
      </c>
      <c r="S89" s="3">
        <f t="shared" ca="1" si="19"/>
        <v>10</v>
      </c>
    </row>
    <row r="90" spans="1:19" ht="15.75" customHeight="1" x14ac:dyDescent="0.25">
      <c r="A90" s="54">
        <v>46016</v>
      </c>
      <c r="B90" s="58">
        <f ca="1">IFERROR(__xludf.DUMMYFUNCTION("ifna(FILTER('Day Log'!B:B,'Day Log'!$A:$A=A90),"""")"),6215.03)</f>
        <v>6215.03</v>
      </c>
      <c r="C90" s="63">
        <f ca="1">IFERROR(__xludf.DUMMYFUNCTION("ifna(FILTER('Day Log'!C:C,'Day Log'!$A:$A=A90),"""")"),83)</f>
        <v>83</v>
      </c>
      <c r="D90" s="58">
        <f ca="1">IFERROR(__xludf.DUMMYFUNCTION("ifna(FILTER('Day Log'!D:D,'Day Log'!$A:$A=A90),"""")"),236.15)</f>
        <v>236.15</v>
      </c>
      <c r="E90" s="55">
        <f ca="1">IFERROR(__xludf.DUMMYFUNCTION("ifna(FILTER('Day Log'!E:E,'Day Log'!$A:$A=A90),"""")"),621.53)</f>
        <v>621.53</v>
      </c>
      <c r="F90" s="57">
        <f t="shared" si="20"/>
        <v>46196</v>
      </c>
      <c r="G90" s="58">
        <f t="shared" ca="1" si="21"/>
        <v>5357.35</v>
      </c>
      <c r="H90" s="55"/>
      <c r="I90" s="55"/>
      <c r="J90" s="55"/>
      <c r="K90" s="58">
        <f ca="1">IFERROR(__xludf.DUMMYFUNCTION("ifna(FILTER('Day Log'!H:H,'Day Log'!$A:$A=A90),"""")"),0)</f>
        <v>0</v>
      </c>
      <c r="L90" s="58">
        <f ca="1">IFERROR(__xludf.DUMMYFUNCTION("ifna(FILTER('Day Log'!I:I,'Day Log'!$A:$A=A90),"""")"),0)</f>
        <v>0</v>
      </c>
      <c r="M90" s="58">
        <f t="shared" ca="1" si="22"/>
        <v>0</v>
      </c>
      <c r="N90" s="55"/>
      <c r="O90" s="55"/>
      <c r="P90" s="58">
        <f t="shared" si="23"/>
        <v>0</v>
      </c>
      <c r="Q90" s="59">
        <f t="shared" ca="1" si="25"/>
        <v>26042.490000000013</v>
      </c>
      <c r="R90" s="3">
        <f t="shared" ca="1" si="4"/>
        <v>3.8</v>
      </c>
      <c r="S90" s="3">
        <f t="shared" ca="1" si="19"/>
        <v>10</v>
      </c>
    </row>
    <row r="91" spans="1:19" ht="15.75" customHeight="1" x14ac:dyDescent="0.25">
      <c r="A91" s="54">
        <v>46017</v>
      </c>
      <c r="B91" s="58">
        <v>0</v>
      </c>
      <c r="C91" s="58">
        <v>0</v>
      </c>
      <c r="D91" s="58">
        <v>0</v>
      </c>
      <c r="E91" s="58">
        <v>0</v>
      </c>
      <c r="F91" s="57">
        <f t="shared" si="20"/>
        <v>46197</v>
      </c>
      <c r="G91" s="58">
        <f t="shared" si="21"/>
        <v>0</v>
      </c>
      <c r="H91" s="55"/>
      <c r="I91" s="55"/>
      <c r="J91" s="55"/>
      <c r="K91" s="58">
        <f ca="1">IFERROR(__xludf.DUMMYFUNCTION("ifna(FILTER('Day Log'!H:H,'Day Log'!$A:$A=A90),"""")"),0)</f>
        <v>0</v>
      </c>
      <c r="L91" s="58">
        <f ca="1">IFERROR(__xludf.DUMMYFUNCTION("ifna(FILTER('Day Log'!I:I,'Day Log'!$A:$A=A90),"""")"),0)</f>
        <v>0</v>
      </c>
      <c r="M91" s="58">
        <f t="shared" ca="1" si="22"/>
        <v>0</v>
      </c>
      <c r="N91" s="55"/>
      <c r="O91" s="55"/>
      <c r="P91" s="58">
        <f t="shared" si="23"/>
        <v>0</v>
      </c>
      <c r="Q91" s="59">
        <f t="shared" ca="1" si="25"/>
        <v>26042.490000000013</v>
      </c>
      <c r="R91" s="3" t="str">
        <f t="shared" si="4"/>
        <v/>
      </c>
      <c r="S91" s="3" t="str">
        <f t="shared" si="19"/>
        <v/>
      </c>
    </row>
    <row r="92" spans="1:19" ht="15.75" customHeight="1" x14ac:dyDescent="0.25">
      <c r="A92" s="54">
        <v>46018</v>
      </c>
      <c r="B92" s="58">
        <v>0</v>
      </c>
      <c r="C92" s="58">
        <v>0</v>
      </c>
      <c r="D92" s="58">
        <v>0</v>
      </c>
      <c r="E92" s="58">
        <v>0</v>
      </c>
      <c r="F92" s="57">
        <f t="shared" si="20"/>
        <v>46198</v>
      </c>
      <c r="G92" s="58">
        <f t="shared" si="21"/>
        <v>0</v>
      </c>
      <c r="H92" s="55"/>
      <c r="I92" s="55"/>
      <c r="J92" s="55"/>
      <c r="K92" s="58">
        <f ca="1">IFERROR(__xludf.DUMMYFUNCTION("ifna(FILTER('Day Log'!H:H,'Day Log'!$A:$A=A90),"""")"),0)</f>
        <v>0</v>
      </c>
      <c r="L92" s="58">
        <f ca="1">IFERROR(__xludf.DUMMYFUNCTION("ifna(FILTER('Day Log'!I:I,'Day Log'!$A:$A=A90),"""")"),0)</f>
        <v>0</v>
      </c>
      <c r="M92" s="58">
        <f t="shared" ca="1" si="22"/>
        <v>0</v>
      </c>
      <c r="N92" s="55"/>
      <c r="O92" s="55"/>
      <c r="P92" s="58">
        <f t="shared" si="23"/>
        <v>0</v>
      </c>
      <c r="Q92" s="59">
        <f t="shared" ca="1" si="25"/>
        <v>26042.490000000013</v>
      </c>
      <c r="R92" s="3" t="str">
        <f t="shared" si="4"/>
        <v/>
      </c>
      <c r="S92" s="3" t="str">
        <f t="shared" si="19"/>
        <v/>
      </c>
    </row>
    <row r="93" spans="1:19" ht="15.75" customHeight="1" x14ac:dyDescent="0.25">
      <c r="A93" s="54">
        <v>46019</v>
      </c>
      <c r="B93" s="58">
        <v>0</v>
      </c>
      <c r="C93" s="58">
        <v>0</v>
      </c>
      <c r="D93" s="58">
        <v>0</v>
      </c>
      <c r="E93" s="58">
        <v>0</v>
      </c>
      <c r="F93" s="57">
        <f t="shared" si="20"/>
        <v>46199</v>
      </c>
      <c r="G93" s="58">
        <f t="shared" si="21"/>
        <v>0</v>
      </c>
      <c r="H93" s="55"/>
      <c r="I93" s="55"/>
      <c r="J93" s="55"/>
      <c r="K93" s="58">
        <f ca="1">IFERROR(__xludf.DUMMYFUNCTION("ifna(FILTER('Day Log'!H:H,'Day Log'!$A:$A=A90),"""")"),0)</f>
        <v>0</v>
      </c>
      <c r="L93" s="58">
        <f ca="1">IFERROR(__xludf.DUMMYFUNCTION("ifna(FILTER('Day Log'!I:I,'Day Log'!$A:$A=A90),"""")"),0)</f>
        <v>0</v>
      </c>
      <c r="M93" s="58">
        <f t="shared" ca="1" si="22"/>
        <v>0</v>
      </c>
      <c r="N93" s="55"/>
      <c r="O93" s="55"/>
      <c r="P93" s="58">
        <f t="shared" si="23"/>
        <v>0</v>
      </c>
      <c r="Q93" s="59">
        <f t="shared" ca="1" si="25"/>
        <v>26042.490000000013</v>
      </c>
      <c r="R93" s="3" t="str">
        <f t="shared" si="4"/>
        <v/>
      </c>
      <c r="S93" s="3" t="str">
        <f t="shared" si="19"/>
        <v/>
      </c>
    </row>
    <row r="94" spans="1:19" ht="15.75" customHeight="1" x14ac:dyDescent="0.25">
      <c r="A94" s="54">
        <v>46020</v>
      </c>
      <c r="B94" s="58">
        <v>0</v>
      </c>
      <c r="C94" s="58">
        <v>0</v>
      </c>
      <c r="D94" s="58">
        <v>0</v>
      </c>
      <c r="E94" s="58">
        <v>0</v>
      </c>
      <c r="F94" s="57">
        <f t="shared" si="20"/>
        <v>46200</v>
      </c>
      <c r="G94" s="58">
        <f t="shared" si="21"/>
        <v>0</v>
      </c>
      <c r="H94" s="55"/>
      <c r="I94" s="55"/>
      <c r="J94" s="55"/>
      <c r="K94" s="58">
        <f ca="1">IFERROR(__xludf.DUMMYFUNCTION("ifna(FILTER('Day Log'!H:H,'Day Log'!$A:$A=A90),"""")"),0)</f>
        <v>0</v>
      </c>
      <c r="L94" s="58">
        <f ca="1">IFERROR(__xludf.DUMMYFUNCTION("ifna(FILTER('Day Log'!I:I,'Day Log'!$A:$A=A90),"""")"),0)</f>
        <v>0</v>
      </c>
      <c r="M94" s="58">
        <f t="shared" ca="1" si="22"/>
        <v>0</v>
      </c>
      <c r="N94" s="55"/>
      <c r="O94" s="55"/>
      <c r="P94" s="58">
        <f t="shared" si="23"/>
        <v>0</v>
      </c>
      <c r="Q94" s="59">
        <f t="shared" ca="1" si="25"/>
        <v>26042.490000000013</v>
      </c>
      <c r="R94" s="3" t="str">
        <f t="shared" si="4"/>
        <v/>
      </c>
      <c r="S94" s="3"/>
    </row>
    <row r="95" spans="1:19" ht="15.75" customHeight="1" x14ac:dyDescent="0.25">
      <c r="A95" s="54">
        <v>46021</v>
      </c>
      <c r="B95" s="58">
        <v>0</v>
      </c>
      <c r="C95" s="58">
        <v>0</v>
      </c>
      <c r="D95" s="58">
        <v>0</v>
      </c>
      <c r="E95" s="58">
        <v>0</v>
      </c>
      <c r="F95" s="57">
        <f t="shared" si="20"/>
        <v>46201</v>
      </c>
      <c r="G95" s="58">
        <f t="shared" si="21"/>
        <v>0</v>
      </c>
      <c r="H95" s="55"/>
      <c r="I95" s="55"/>
      <c r="J95" s="55"/>
      <c r="K95" s="58">
        <f ca="1">IFERROR(__xludf.DUMMYFUNCTION("ifna(FILTER('Day Log'!H:H,'Day Log'!$A:$A=A90),"""")"),0)</f>
        <v>0</v>
      </c>
      <c r="L95" s="58">
        <f ca="1">IFERROR(__xludf.DUMMYFUNCTION("ifna(FILTER('Day Log'!I:I,'Day Log'!$A:$A=A90),"""")"),0)</f>
        <v>0</v>
      </c>
      <c r="M95" s="58">
        <f t="shared" ca="1" si="22"/>
        <v>0</v>
      </c>
      <c r="N95" s="55"/>
      <c r="O95" s="55"/>
      <c r="P95" s="58">
        <f t="shared" si="23"/>
        <v>0</v>
      </c>
      <c r="Q95" s="59">
        <f t="shared" ca="1" si="25"/>
        <v>26042.490000000013</v>
      </c>
      <c r="R95" s="3" t="str">
        <f t="shared" si="4"/>
        <v/>
      </c>
      <c r="S95" s="3"/>
    </row>
    <row r="96" spans="1:19" ht="15.75" customHeight="1" x14ac:dyDescent="0.25">
      <c r="A96" s="54">
        <v>46022</v>
      </c>
      <c r="B96" s="58">
        <v>0</v>
      </c>
      <c r="C96" s="58">
        <v>0</v>
      </c>
      <c r="D96" s="58">
        <v>0</v>
      </c>
      <c r="E96" s="58">
        <v>0</v>
      </c>
      <c r="F96" s="57">
        <f t="shared" si="20"/>
        <v>46202</v>
      </c>
      <c r="G96" s="58">
        <f t="shared" si="21"/>
        <v>0</v>
      </c>
      <c r="H96" s="55"/>
      <c r="I96" s="55"/>
      <c r="J96" s="55"/>
      <c r="K96" s="58">
        <f ca="1">IFERROR(__xludf.DUMMYFUNCTION("ifna(FILTER('Day Log'!H:H,'Day Log'!$A:$A=A90),"""")"),0)</f>
        <v>0</v>
      </c>
      <c r="L96" s="58">
        <f ca="1">IFERROR(__xludf.DUMMYFUNCTION("ifna(FILTER('Day Log'!I:I,'Day Log'!$A:$A=A90),"""")"),0)</f>
        <v>0</v>
      </c>
      <c r="M96" s="58">
        <f t="shared" ca="1" si="22"/>
        <v>0</v>
      </c>
      <c r="N96" s="55"/>
      <c r="O96" s="55"/>
      <c r="P96" s="58">
        <f t="shared" si="23"/>
        <v>0</v>
      </c>
      <c r="Q96" s="59">
        <f t="shared" ca="1" si="25"/>
        <v>26042.490000000013</v>
      </c>
      <c r="R96" s="3"/>
      <c r="S96" s="3"/>
    </row>
    <row r="97" spans="1:19" ht="15.75" customHeight="1" x14ac:dyDescent="0.25">
      <c r="A97" s="64" t="s">
        <v>19</v>
      </c>
      <c r="B97" s="65">
        <f t="shared" ref="B97:P97" ca="1" si="26">SUM(B66:B96)</f>
        <v>162968.58999999997</v>
      </c>
      <c r="C97" s="65">
        <f t="shared" ca="1" si="26"/>
        <v>2326</v>
      </c>
      <c r="D97" s="65">
        <f t="shared" ca="1" si="26"/>
        <v>6192.94</v>
      </c>
      <c r="E97" s="65">
        <f t="shared" ca="1" si="26"/>
        <v>16297.260000000002</v>
      </c>
      <c r="F97" s="65">
        <f t="shared" si="26"/>
        <v>1431797</v>
      </c>
      <c r="G97" s="65">
        <f t="shared" ca="1" si="26"/>
        <v>140478.38999999998</v>
      </c>
      <c r="H97" s="65">
        <f t="shared" si="26"/>
        <v>186225.19</v>
      </c>
      <c r="I97" s="65">
        <f t="shared" si="26"/>
        <v>0</v>
      </c>
      <c r="J97" s="65">
        <f t="shared" si="26"/>
        <v>0</v>
      </c>
      <c r="K97" s="65">
        <f t="shared" ca="1" si="26"/>
        <v>0</v>
      </c>
      <c r="L97" s="65">
        <f t="shared" ca="1" si="26"/>
        <v>0</v>
      </c>
      <c r="M97" s="65">
        <f t="shared" ca="1" si="26"/>
        <v>0</v>
      </c>
      <c r="N97" s="65">
        <f t="shared" si="26"/>
        <v>0</v>
      </c>
      <c r="O97" s="65">
        <f t="shared" si="26"/>
        <v>0</v>
      </c>
      <c r="P97" s="65">
        <f t="shared" si="26"/>
        <v>0</v>
      </c>
      <c r="Q97" s="67">
        <f ca="1">G97-H97-I97-K97-M97-N97-P97+Q65</f>
        <v>26042.489999999991</v>
      </c>
      <c r="R97" s="6">
        <f t="shared" ref="R97:R98" ca="1" si="27">IFERROR(ROUND(D97/B97*100,2),"")</f>
        <v>3.8</v>
      </c>
      <c r="S97" s="6">
        <f t="shared" ref="S97:S98" ca="1" si="28">IFERROR(ROUND(E97/B97*100,2),"")</f>
        <v>10</v>
      </c>
    </row>
    <row r="98" spans="1:19" ht="15.75" customHeight="1" x14ac:dyDescent="0.25">
      <c r="A98" s="68" t="s">
        <v>20</v>
      </c>
      <c r="B98" s="69">
        <f t="shared" ref="B98:O98" ca="1" si="29">B34+B65+B97</f>
        <v>246258.59999999998</v>
      </c>
      <c r="C98" s="69">
        <f t="shared" ca="1" si="29"/>
        <v>3763</v>
      </c>
      <c r="D98" s="69">
        <f t="shared" ca="1" si="29"/>
        <v>9357.869999999999</v>
      </c>
      <c r="E98" s="69">
        <f t="shared" ca="1" si="29"/>
        <v>24627.050000000003</v>
      </c>
      <c r="F98" s="69">
        <f t="shared" si="29"/>
        <v>1431797</v>
      </c>
      <c r="G98" s="69">
        <f t="shared" ca="1" si="29"/>
        <v>212273.68</v>
      </c>
      <c r="H98" s="69">
        <f t="shared" si="29"/>
        <v>186225.19</v>
      </c>
      <c r="I98" s="69">
        <f t="shared" si="29"/>
        <v>0</v>
      </c>
      <c r="J98" s="69">
        <f t="shared" si="29"/>
        <v>0</v>
      </c>
      <c r="K98" s="69">
        <f t="shared" ca="1" si="29"/>
        <v>1</v>
      </c>
      <c r="L98" s="69">
        <f t="shared" ca="1" si="29"/>
        <v>1</v>
      </c>
      <c r="M98" s="69">
        <f t="shared" ca="1" si="29"/>
        <v>5</v>
      </c>
      <c r="N98" s="69">
        <f t="shared" si="29"/>
        <v>0</v>
      </c>
      <c r="O98" s="69">
        <f t="shared" si="29"/>
        <v>0</v>
      </c>
      <c r="P98" s="69">
        <f>P34+P65</f>
        <v>0</v>
      </c>
      <c r="Q98" s="69">
        <f ca="1">G98-H98-J98-I98-K98-M98</f>
        <v>26042.489999999991</v>
      </c>
      <c r="R98" s="8">
        <f t="shared" ca="1" si="27"/>
        <v>3.8</v>
      </c>
      <c r="S98" s="8">
        <f t="shared" ca="1" si="28"/>
        <v>10</v>
      </c>
    </row>
    <row r="99" spans="1:19" ht="15.75" customHeight="1" x14ac:dyDescent="0.25">
      <c r="B99" s="14"/>
      <c r="C99" s="11"/>
      <c r="D99" s="14"/>
      <c r="E99" s="14"/>
      <c r="F99" s="14"/>
      <c r="R99" s="9"/>
      <c r="S99" s="9"/>
    </row>
    <row r="100" spans="1:19" ht="15.75" customHeight="1" x14ac:dyDescent="0.25">
      <c r="B100" s="14"/>
      <c r="C100" s="11"/>
      <c r="D100" s="14"/>
      <c r="E100" s="14"/>
      <c r="F100" s="14"/>
      <c r="R100" s="9"/>
      <c r="S100" s="9"/>
    </row>
    <row r="101" spans="1:19" ht="15.75" customHeight="1" x14ac:dyDescent="0.25">
      <c r="B101" s="14"/>
      <c r="C101" s="11"/>
      <c r="D101" s="14"/>
      <c r="E101" s="14"/>
      <c r="F101" s="14"/>
      <c r="R101" s="9"/>
      <c r="S101" s="9"/>
    </row>
    <row r="102" spans="1:19" ht="15.75" customHeight="1" x14ac:dyDescent="0.25">
      <c r="B102" s="14"/>
      <c r="C102" s="11"/>
      <c r="D102" s="14"/>
      <c r="E102" s="14"/>
      <c r="F102" s="14"/>
      <c r="R102" s="9"/>
      <c r="S102" s="9"/>
    </row>
    <row r="103" spans="1:19" ht="15.75" customHeight="1" x14ac:dyDescent="0.25">
      <c r="B103" s="14"/>
      <c r="C103" s="11"/>
      <c r="D103" s="14"/>
      <c r="E103" s="14"/>
      <c r="F103" s="14"/>
      <c r="R103" s="9"/>
      <c r="S103" s="9"/>
    </row>
    <row r="104" spans="1:19" ht="15.75" customHeight="1" x14ac:dyDescent="0.25">
      <c r="B104" s="14"/>
      <c r="C104" s="11"/>
      <c r="D104" s="14"/>
      <c r="E104" s="14"/>
      <c r="F104" s="14"/>
      <c r="R104" s="9"/>
      <c r="S104" s="9"/>
    </row>
    <row r="105" spans="1:19" ht="15.75" customHeight="1" x14ac:dyDescent="0.25">
      <c r="B105" s="14"/>
      <c r="C105" s="11"/>
      <c r="D105" s="14"/>
      <c r="E105" s="14"/>
      <c r="F105" s="14"/>
      <c r="R105" s="9"/>
      <c r="S105" s="9"/>
    </row>
    <row r="106" spans="1:19" ht="15.75" customHeight="1" x14ac:dyDescent="0.25">
      <c r="B106" s="14"/>
      <c r="C106" s="11"/>
      <c r="D106" s="14"/>
      <c r="E106" s="14"/>
      <c r="F106" s="14"/>
      <c r="R106" s="9"/>
      <c r="S106" s="9"/>
    </row>
    <row r="107" spans="1:19" ht="15.75" customHeight="1" x14ac:dyDescent="0.25">
      <c r="B107" s="14"/>
      <c r="C107" s="11"/>
      <c r="D107" s="14"/>
      <c r="E107" s="14"/>
      <c r="F107" s="14"/>
      <c r="R107" s="9"/>
      <c r="S107" s="9"/>
    </row>
    <row r="108" spans="1:19" ht="15.75" customHeight="1" x14ac:dyDescent="0.25">
      <c r="B108" s="14"/>
      <c r="C108" s="11"/>
      <c r="D108" s="14"/>
      <c r="E108" s="14"/>
      <c r="F108" s="14"/>
      <c r="R108" s="9"/>
      <c r="S108" s="9"/>
    </row>
    <row r="109" spans="1:19" ht="15.75" customHeight="1" x14ac:dyDescent="0.25">
      <c r="B109" s="14"/>
      <c r="C109" s="11"/>
      <c r="D109" s="14"/>
      <c r="E109" s="14"/>
      <c r="F109" s="14"/>
      <c r="R109" s="9"/>
      <c r="S109" s="9"/>
    </row>
    <row r="110" spans="1:19" ht="15.75" customHeight="1" x14ac:dyDescent="0.25">
      <c r="B110" s="14"/>
      <c r="C110" s="11"/>
      <c r="D110" s="14"/>
      <c r="E110" s="14"/>
      <c r="F110" s="14"/>
      <c r="R110" s="9"/>
      <c r="S110" s="9"/>
    </row>
    <row r="111" spans="1:19" ht="15.75" customHeight="1" x14ac:dyDescent="0.25">
      <c r="B111" s="14"/>
      <c r="C111" s="11"/>
      <c r="D111" s="14"/>
      <c r="E111" s="14"/>
      <c r="F111" s="14"/>
      <c r="R111" s="9"/>
      <c r="S111" s="9"/>
    </row>
    <row r="112" spans="1:19" ht="15.75" customHeight="1" x14ac:dyDescent="0.25">
      <c r="B112" s="14"/>
      <c r="C112" s="11"/>
      <c r="D112" s="14"/>
      <c r="E112" s="14"/>
      <c r="F112" s="14"/>
      <c r="R112" s="9"/>
      <c r="S112" s="9"/>
    </row>
    <row r="113" spans="2:19" ht="15.75" customHeight="1" x14ac:dyDescent="0.25">
      <c r="B113" s="14"/>
      <c r="C113" s="11"/>
      <c r="D113" s="14"/>
      <c r="E113" s="14"/>
      <c r="F113" s="14"/>
      <c r="R113" s="9"/>
      <c r="S113" s="9"/>
    </row>
    <row r="114" spans="2:19" ht="15.75" customHeight="1" x14ac:dyDescent="0.25">
      <c r="B114" s="14"/>
      <c r="C114" s="11"/>
      <c r="D114" s="14"/>
      <c r="E114" s="14"/>
      <c r="F114" s="14"/>
      <c r="R114" s="9"/>
      <c r="S114" s="9"/>
    </row>
    <row r="115" spans="2:19" ht="15.75" customHeight="1" x14ac:dyDescent="0.25">
      <c r="B115" s="14"/>
      <c r="C115" s="11"/>
      <c r="D115" s="14"/>
      <c r="E115" s="14"/>
      <c r="F115" s="14"/>
      <c r="R115" s="9"/>
      <c r="S115" s="9"/>
    </row>
    <row r="116" spans="2:19" ht="15.75" customHeight="1" x14ac:dyDescent="0.25">
      <c r="B116" s="14"/>
      <c r="C116" s="11"/>
      <c r="D116" s="14"/>
      <c r="E116" s="14"/>
      <c r="F116" s="14"/>
      <c r="R116" s="9"/>
      <c r="S116" s="9"/>
    </row>
    <row r="117" spans="2:19" ht="15.75" customHeight="1" x14ac:dyDescent="0.25">
      <c r="B117" s="14"/>
      <c r="C117" s="11"/>
      <c r="D117" s="14"/>
      <c r="E117" s="14"/>
      <c r="F117" s="14"/>
      <c r="R117" s="9"/>
      <c r="S117" s="9"/>
    </row>
    <row r="118" spans="2:19" ht="15.75" customHeight="1" x14ac:dyDescent="0.25">
      <c r="B118" s="14"/>
      <c r="C118" s="11"/>
      <c r="D118" s="14"/>
      <c r="E118" s="14"/>
      <c r="F118" s="14"/>
      <c r="R118" s="9"/>
      <c r="S118" s="9"/>
    </row>
    <row r="119" spans="2:19" ht="15.75" customHeight="1" x14ac:dyDescent="0.25">
      <c r="B119" s="14"/>
      <c r="C119" s="11"/>
      <c r="D119" s="14"/>
      <c r="E119" s="14"/>
      <c r="F119" s="14"/>
      <c r="R119" s="9"/>
      <c r="S119" s="9"/>
    </row>
    <row r="120" spans="2:19" ht="15.75" customHeight="1" x14ac:dyDescent="0.25">
      <c r="B120" s="14"/>
      <c r="C120" s="11"/>
      <c r="D120" s="14"/>
      <c r="E120" s="14"/>
      <c r="F120" s="14"/>
      <c r="R120" s="9"/>
      <c r="S120" s="9"/>
    </row>
    <row r="121" spans="2:19" ht="15.75" customHeight="1" x14ac:dyDescent="0.25">
      <c r="B121" s="14"/>
      <c r="C121" s="11"/>
      <c r="D121" s="14"/>
      <c r="E121" s="14"/>
      <c r="F121" s="14"/>
      <c r="R121" s="9"/>
      <c r="S121" s="9"/>
    </row>
    <row r="122" spans="2:19" ht="15.75" customHeight="1" x14ac:dyDescent="0.25">
      <c r="B122" s="14"/>
      <c r="C122" s="11"/>
      <c r="D122" s="14"/>
      <c r="E122" s="14"/>
      <c r="F122" s="14"/>
      <c r="R122" s="9"/>
      <c r="S122" s="9"/>
    </row>
    <row r="123" spans="2:19" ht="15.75" customHeight="1" x14ac:dyDescent="0.25">
      <c r="B123" s="14"/>
      <c r="C123" s="11"/>
      <c r="D123" s="14"/>
      <c r="E123" s="14"/>
      <c r="F123" s="14"/>
      <c r="R123" s="9"/>
      <c r="S123" s="9"/>
    </row>
    <row r="124" spans="2:19" ht="15.75" customHeight="1" x14ac:dyDescent="0.25">
      <c r="B124" s="14"/>
      <c r="C124" s="11"/>
      <c r="D124" s="14"/>
      <c r="E124" s="14"/>
      <c r="F124" s="14"/>
      <c r="R124" s="9"/>
      <c r="S124" s="9"/>
    </row>
    <row r="125" spans="2:19" ht="15.75" customHeight="1" x14ac:dyDescent="0.25">
      <c r="B125" s="14"/>
      <c r="C125" s="11"/>
      <c r="D125" s="14"/>
      <c r="E125" s="14"/>
      <c r="F125" s="14"/>
      <c r="R125" s="9"/>
      <c r="S125" s="9"/>
    </row>
    <row r="126" spans="2:19" ht="15.75" customHeight="1" x14ac:dyDescent="0.25">
      <c r="B126" s="14"/>
      <c r="C126" s="11"/>
      <c r="D126" s="14"/>
      <c r="E126" s="14"/>
      <c r="F126" s="14"/>
      <c r="R126" s="9"/>
      <c r="S126" s="9"/>
    </row>
    <row r="127" spans="2:19" ht="15.75" customHeight="1" x14ac:dyDescent="0.25">
      <c r="B127" s="14"/>
      <c r="C127" s="11"/>
      <c r="D127" s="14"/>
      <c r="E127" s="14"/>
      <c r="F127" s="14"/>
      <c r="R127" s="9"/>
      <c r="S127" s="9"/>
    </row>
    <row r="128" spans="2:19" ht="15.75" customHeight="1" x14ac:dyDescent="0.25">
      <c r="B128" s="14"/>
      <c r="C128" s="11"/>
      <c r="D128" s="14"/>
      <c r="E128" s="14"/>
      <c r="F128" s="14"/>
      <c r="R128" s="9"/>
      <c r="S128" s="9"/>
    </row>
    <row r="129" spans="2:19" ht="15.75" customHeight="1" x14ac:dyDescent="0.25">
      <c r="B129" s="14"/>
      <c r="C129" s="11"/>
      <c r="D129" s="14"/>
      <c r="E129" s="14"/>
      <c r="F129" s="14"/>
      <c r="R129" s="9"/>
      <c r="S129" s="9"/>
    </row>
    <row r="130" spans="2:19" ht="15.75" customHeight="1" x14ac:dyDescent="0.25">
      <c r="B130" s="14"/>
      <c r="C130" s="11"/>
      <c r="D130" s="14"/>
      <c r="E130" s="14"/>
      <c r="F130" s="14"/>
      <c r="R130" s="9"/>
      <c r="S130" s="9"/>
    </row>
    <row r="131" spans="2:19" ht="15.75" customHeight="1" x14ac:dyDescent="0.25">
      <c r="B131" s="14"/>
      <c r="C131" s="11"/>
      <c r="D131" s="14"/>
      <c r="E131" s="14"/>
      <c r="F131" s="14"/>
      <c r="R131" s="9"/>
      <c r="S131" s="9"/>
    </row>
    <row r="132" spans="2:19" ht="15.75" customHeight="1" x14ac:dyDescent="0.25">
      <c r="B132" s="14"/>
      <c r="C132" s="11"/>
      <c r="D132" s="14"/>
      <c r="E132" s="14"/>
      <c r="F132" s="14"/>
      <c r="R132" s="9"/>
      <c r="S132" s="9"/>
    </row>
    <row r="133" spans="2:19" ht="15.75" customHeight="1" x14ac:dyDescent="0.25">
      <c r="B133" s="14"/>
      <c r="C133" s="11"/>
      <c r="D133" s="14"/>
      <c r="E133" s="14"/>
      <c r="F133" s="14"/>
      <c r="R133" s="9"/>
      <c r="S133" s="9"/>
    </row>
    <row r="134" spans="2:19" ht="15.75" customHeight="1" x14ac:dyDescent="0.25">
      <c r="B134" s="14"/>
      <c r="C134" s="11"/>
      <c r="D134" s="14"/>
      <c r="E134" s="14"/>
      <c r="F134" s="14"/>
      <c r="R134" s="9"/>
      <c r="S134" s="9"/>
    </row>
    <row r="135" spans="2:19" ht="15.75" customHeight="1" x14ac:dyDescent="0.25">
      <c r="B135" s="14"/>
      <c r="C135" s="11"/>
      <c r="D135" s="14"/>
      <c r="E135" s="14"/>
      <c r="F135" s="14"/>
      <c r="R135" s="9"/>
      <c r="S135" s="9"/>
    </row>
    <row r="136" spans="2:19" ht="15.75" customHeight="1" x14ac:dyDescent="0.25">
      <c r="B136" s="14"/>
      <c r="C136" s="11"/>
      <c r="D136" s="14"/>
      <c r="E136" s="14"/>
      <c r="F136" s="14"/>
      <c r="R136" s="9"/>
      <c r="S136" s="9"/>
    </row>
    <row r="137" spans="2:19" ht="15.75" customHeight="1" x14ac:dyDescent="0.25">
      <c r="B137" s="14"/>
      <c r="C137" s="11"/>
      <c r="D137" s="14"/>
      <c r="E137" s="14"/>
      <c r="F137" s="14"/>
      <c r="R137" s="9"/>
      <c r="S137" s="9"/>
    </row>
    <row r="138" spans="2:19" ht="15.75" customHeight="1" x14ac:dyDescent="0.25">
      <c r="B138" s="14"/>
      <c r="C138" s="11"/>
      <c r="D138" s="14"/>
      <c r="E138" s="14"/>
      <c r="F138" s="14"/>
      <c r="R138" s="9"/>
      <c r="S138" s="9"/>
    </row>
    <row r="139" spans="2:19" ht="15.75" customHeight="1" x14ac:dyDescent="0.25">
      <c r="B139" s="14"/>
      <c r="C139" s="11"/>
      <c r="D139" s="14"/>
      <c r="E139" s="14"/>
      <c r="F139" s="14"/>
      <c r="R139" s="9"/>
      <c r="S139" s="9"/>
    </row>
    <row r="140" spans="2:19" ht="15.75" customHeight="1" x14ac:dyDescent="0.25">
      <c r="B140" s="14"/>
      <c r="C140" s="11"/>
      <c r="D140" s="14"/>
      <c r="E140" s="14"/>
      <c r="F140" s="14"/>
      <c r="R140" s="9"/>
      <c r="S140" s="9"/>
    </row>
    <row r="141" spans="2:19" ht="15.75" customHeight="1" x14ac:dyDescent="0.25">
      <c r="B141" s="14"/>
      <c r="C141" s="11"/>
      <c r="D141" s="14"/>
      <c r="E141" s="14"/>
      <c r="F141" s="14"/>
      <c r="R141" s="9"/>
      <c r="S141" s="9"/>
    </row>
    <row r="142" spans="2:19" ht="15.75" customHeight="1" x14ac:dyDescent="0.25">
      <c r="B142" s="14"/>
      <c r="C142" s="11"/>
      <c r="D142" s="14"/>
      <c r="E142" s="14"/>
      <c r="F142" s="14"/>
      <c r="R142" s="9"/>
      <c r="S142" s="9"/>
    </row>
    <row r="143" spans="2:19" ht="15.75" customHeight="1" x14ac:dyDescent="0.25">
      <c r="B143" s="14"/>
      <c r="C143" s="11"/>
      <c r="D143" s="14"/>
      <c r="E143" s="14"/>
      <c r="F143" s="14"/>
      <c r="R143" s="9"/>
      <c r="S143" s="9"/>
    </row>
    <row r="144" spans="2:19" ht="15.75" customHeight="1" x14ac:dyDescent="0.25">
      <c r="B144" s="14"/>
      <c r="C144" s="11"/>
      <c r="D144" s="14"/>
      <c r="E144" s="14"/>
      <c r="F144" s="14"/>
      <c r="R144" s="9"/>
      <c r="S144" s="9"/>
    </row>
    <row r="145" spans="2:19" ht="15.75" customHeight="1" x14ac:dyDescent="0.25">
      <c r="B145" s="14"/>
      <c r="C145" s="11"/>
      <c r="D145" s="14"/>
      <c r="E145" s="14"/>
      <c r="F145" s="14"/>
      <c r="R145" s="9"/>
      <c r="S145" s="9"/>
    </row>
    <row r="146" spans="2:19" ht="15.75" customHeight="1" x14ac:dyDescent="0.25">
      <c r="B146" s="14"/>
      <c r="C146" s="11"/>
      <c r="D146" s="14"/>
      <c r="E146" s="14"/>
      <c r="F146" s="14"/>
      <c r="R146" s="9"/>
      <c r="S146" s="9"/>
    </row>
    <row r="147" spans="2:19" ht="15.75" customHeight="1" x14ac:dyDescent="0.25">
      <c r="B147" s="14"/>
      <c r="C147" s="11"/>
      <c r="D147" s="14"/>
      <c r="E147" s="14"/>
      <c r="F147" s="14"/>
      <c r="R147" s="9"/>
      <c r="S147" s="9"/>
    </row>
    <row r="148" spans="2:19" ht="15.75" customHeight="1" x14ac:dyDescent="0.25">
      <c r="B148" s="14"/>
      <c r="C148" s="11"/>
      <c r="D148" s="14"/>
      <c r="E148" s="14"/>
      <c r="F148" s="14"/>
      <c r="R148" s="9"/>
      <c r="S148" s="9"/>
    </row>
    <row r="149" spans="2:19" ht="15.75" customHeight="1" x14ac:dyDescent="0.25">
      <c r="B149" s="14"/>
      <c r="C149" s="11"/>
      <c r="D149" s="14"/>
      <c r="E149" s="14"/>
      <c r="F149" s="14"/>
      <c r="R149" s="9"/>
      <c r="S149" s="9"/>
    </row>
    <row r="150" spans="2:19" ht="15.75" customHeight="1" x14ac:dyDescent="0.25">
      <c r="B150" s="14"/>
      <c r="C150" s="11"/>
      <c r="D150" s="14"/>
      <c r="E150" s="14"/>
      <c r="F150" s="14"/>
      <c r="R150" s="9"/>
      <c r="S150" s="9"/>
    </row>
    <row r="151" spans="2:19" ht="15.75" customHeight="1" x14ac:dyDescent="0.25">
      <c r="B151" s="14"/>
      <c r="C151" s="11"/>
      <c r="D151" s="14"/>
      <c r="E151" s="14"/>
      <c r="F151" s="14"/>
      <c r="R151" s="9"/>
      <c r="S151" s="9"/>
    </row>
    <row r="152" spans="2:19" ht="15.75" customHeight="1" x14ac:dyDescent="0.25">
      <c r="B152" s="14"/>
      <c r="C152" s="11"/>
      <c r="D152" s="14"/>
      <c r="E152" s="14"/>
      <c r="F152" s="14"/>
      <c r="R152" s="9"/>
      <c r="S152" s="9"/>
    </row>
    <row r="153" spans="2:19" ht="15.75" customHeight="1" x14ac:dyDescent="0.25">
      <c r="B153" s="14"/>
      <c r="C153" s="11"/>
      <c r="D153" s="14"/>
      <c r="E153" s="14"/>
      <c r="F153" s="14"/>
      <c r="R153" s="9"/>
      <c r="S153" s="9"/>
    </row>
    <row r="154" spans="2:19" ht="15.75" customHeight="1" x14ac:dyDescent="0.25">
      <c r="B154" s="14"/>
      <c r="C154" s="11"/>
      <c r="D154" s="14"/>
      <c r="E154" s="14"/>
      <c r="F154" s="14"/>
      <c r="R154" s="9"/>
      <c r="S154" s="9"/>
    </row>
    <row r="155" spans="2:19" ht="15.75" customHeight="1" x14ac:dyDescent="0.25">
      <c r="B155" s="14"/>
      <c r="C155" s="11"/>
      <c r="D155" s="14"/>
      <c r="E155" s="14"/>
      <c r="F155" s="14"/>
      <c r="R155" s="9"/>
      <c r="S155" s="9"/>
    </row>
    <row r="156" spans="2:19" ht="15.75" customHeight="1" x14ac:dyDescent="0.25">
      <c r="B156" s="14"/>
      <c r="C156" s="11"/>
      <c r="D156" s="14"/>
      <c r="E156" s="14"/>
      <c r="F156" s="14"/>
      <c r="R156" s="9"/>
      <c r="S156" s="9"/>
    </row>
    <row r="157" spans="2:19" ht="15.75" customHeight="1" x14ac:dyDescent="0.25">
      <c r="B157" s="14"/>
      <c r="C157" s="11"/>
      <c r="D157" s="14"/>
      <c r="E157" s="14"/>
      <c r="F157" s="14"/>
      <c r="R157" s="9"/>
      <c r="S157" s="9"/>
    </row>
    <row r="158" spans="2:19" ht="15.75" customHeight="1" x14ac:dyDescent="0.25">
      <c r="B158" s="14"/>
      <c r="C158" s="11"/>
      <c r="D158" s="14"/>
      <c r="E158" s="14"/>
      <c r="F158" s="14"/>
      <c r="R158" s="9"/>
      <c r="S158" s="9"/>
    </row>
    <row r="159" spans="2:19" ht="15.75" customHeight="1" x14ac:dyDescent="0.25">
      <c r="B159" s="14"/>
      <c r="C159" s="11"/>
      <c r="D159" s="14"/>
      <c r="E159" s="14"/>
      <c r="F159" s="14"/>
      <c r="R159" s="9"/>
      <c r="S159" s="9"/>
    </row>
    <row r="160" spans="2:19" ht="15.75" customHeight="1" x14ac:dyDescent="0.25">
      <c r="B160" s="14"/>
      <c r="C160" s="11"/>
      <c r="D160" s="14"/>
      <c r="E160" s="14"/>
      <c r="F160" s="14"/>
      <c r="R160" s="9"/>
      <c r="S160" s="9"/>
    </row>
    <row r="161" spans="2:19" ht="15.75" customHeight="1" x14ac:dyDescent="0.25">
      <c r="B161" s="14"/>
      <c r="C161" s="11"/>
      <c r="D161" s="14"/>
      <c r="E161" s="14"/>
      <c r="F161" s="14"/>
      <c r="R161" s="9"/>
      <c r="S161" s="9"/>
    </row>
    <row r="162" spans="2:19" ht="15.75" customHeight="1" x14ac:dyDescent="0.25">
      <c r="B162" s="14"/>
      <c r="C162" s="11"/>
      <c r="D162" s="14"/>
      <c r="E162" s="14"/>
      <c r="F162" s="14"/>
      <c r="R162" s="9"/>
      <c r="S162" s="9"/>
    </row>
    <row r="163" spans="2:19" ht="15.75" customHeight="1" x14ac:dyDescent="0.25">
      <c r="B163" s="14"/>
      <c r="C163" s="11"/>
      <c r="D163" s="14"/>
      <c r="E163" s="14"/>
      <c r="F163" s="14"/>
      <c r="R163" s="9"/>
      <c r="S163" s="9"/>
    </row>
    <row r="164" spans="2:19" ht="15.75" customHeight="1" x14ac:dyDescent="0.25">
      <c r="B164" s="14"/>
      <c r="C164" s="11"/>
      <c r="D164" s="14"/>
      <c r="E164" s="14"/>
      <c r="F164" s="14"/>
      <c r="R164" s="9"/>
      <c r="S164" s="9"/>
    </row>
    <row r="165" spans="2:19" ht="15.75" customHeight="1" x14ac:dyDescent="0.25">
      <c r="B165" s="14"/>
      <c r="C165" s="11"/>
      <c r="D165" s="14"/>
      <c r="E165" s="14"/>
      <c r="F165" s="14"/>
      <c r="R165" s="9"/>
      <c r="S165" s="9"/>
    </row>
    <row r="166" spans="2:19" ht="15.75" customHeight="1" x14ac:dyDescent="0.25">
      <c r="B166" s="14"/>
      <c r="C166" s="11"/>
      <c r="D166" s="14"/>
      <c r="E166" s="14"/>
      <c r="F166" s="14"/>
      <c r="R166" s="9"/>
      <c r="S166" s="9"/>
    </row>
    <row r="167" spans="2:19" ht="15.75" customHeight="1" x14ac:dyDescent="0.25">
      <c r="B167" s="14"/>
      <c r="C167" s="11"/>
      <c r="D167" s="14"/>
      <c r="E167" s="14"/>
      <c r="F167" s="14"/>
      <c r="R167" s="9"/>
      <c r="S167" s="9"/>
    </row>
    <row r="168" spans="2:19" ht="15.75" customHeight="1" x14ac:dyDescent="0.25">
      <c r="B168" s="14"/>
      <c r="C168" s="11"/>
      <c r="D168" s="14"/>
      <c r="E168" s="14"/>
      <c r="F168" s="14"/>
      <c r="R168" s="9"/>
      <c r="S168" s="9"/>
    </row>
    <row r="169" spans="2:19" ht="15.75" customHeight="1" x14ac:dyDescent="0.25">
      <c r="B169" s="14"/>
      <c r="C169" s="11"/>
      <c r="D169" s="14"/>
      <c r="E169" s="14"/>
      <c r="F169" s="14"/>
      <c r="R169" s="9"/>
      <c r="S169" s="9"/>
    </row>
    <row r="170" spans="2:19" ht="15.75" customHeight="1" x14ac:dyDescent="0.25">
      <c r="B170" s="14"/>
      <c r="C170" s="11"/>
      <c r="D170" s="14"/>
      <c r="E170" s="14"/>
      <c r="F170" s="14"/>
      <c r="R170" s="9"/>
      <c r="S170" s="9"/>
    </row>
    <row r="171" spans="2:19" ht="15.75" customHeight="1" x14ac:dyDescent="0.25">
      <c r="B171" s="14"/>
      <c r="C171" s="11"/>
      <c r="D171" s="14"/>
      <c r="E171" s="14"/>
      <c r="F171" s="14"/>
      <c r="R171" s="9"/>
      <c r="S171" s="9"/>
    </row>
    <row r="172" spans="2:19" ht="15.75" customHeight="1" x14ac:dyDescent="0.25">
      <c r="B172" s="14"/>
      <c r="C172" s="11"/>
      <c r="D172" s="14"/>
      <c r="E172" s="14"/>
      <c r="F172" s="14"/>
      <c r="R172" s="9"/>
      <c r="S172" s="9"/>
    </row>
    <row r="173" spans="2:19" ht="15.75" customHeight="1" x14ac:dyDescent="0.25">
      <c r="B173" s="14"/>
      <c r="C173" s="11"/>
      <c r="D173" s="14"/>
      <c r="E173" s="14"/>
      <c r="F173" s="14"/>
      <c r="R173" s="9"/>
      <c r="S173" s="9"/>
    </row>
    <row r="174" spans="2:19" ht="15.75" customHeight="1" x14ac:dyDescent="0.25">
      <c r="B174" s="14"/>
      <c r="C174" s="11"/>
      <c r="D174" s="14"/>
      <c r="E174" s="14"/>
      <c r="F174" s="14"/>
      <c r="R174" s="9"/>
      <c r="S174" s="9"/>
    </row>
    <row r="175" spans="2:19" ht="15.75" customHeight="1" x14ac:dyDescent="0.25">
      <c r="B175" s="14"/>
      <c r="C175" s="11"/>
      <c r="D175" s="14"/>
      <c r="E175" s="14"/>
      <c r="F175" s="14"/>
      <c r="R175" s="9"/>
      <c r="S175" s="9"/>
    </row>
    <row r="176" spans="2:19" ht="15.75" customHeight="1" x14ac:dyDescent="0.25">
      <c r="B176" s="14"/>
      <c r="C176" s="11"/>
      <c r="D176" s="14"/>
      <c r="E176" s="14"/>
      <c r="F176" s="14"/>
      <c r="R176" s="9"/>
      <c r="S176" s="9"/>
    </row>
    <row r="177" spans="2:19" ht="15.75" customHeight="1" x14ac:dyDescent="0.25">
      <c r="B177" s="14"/>
      <c r="C177" s="11"/>
      <c r="D177" s="14"/>
      <c r="E177" s="14"/>
      <c r="F177" s="14"/>
      <c r="R177" s="9"/>
      <c r="S177" s="9"/>
    </row>
    <row r="178" spans="2:19" ht="15.75" customHeight="1" x14ac:dyDescent="0.25">
      <c r="B178" s="14"/>
      <c r="C178" s="11"/>
      <c r="D178" s="14"/>
      <c r="E178" s="14"/>
      <c r="F178" s="14"/>
      <c r="R178" s="9"/>
      <c r="S178" s="9"/>
    </row>
    <row r="179" spans="2:19" ht="15.75" customHeight="1" x14ac:dyDescent="0.25">
      <c r="B179" s="14"/>
      <c r="C179" s="11"/>
      <c r="D179" s="14"/>
      <c r="E179" s="14"/>
      <c r="F179" s="14"/>
      <c r="R179" s="9"/>
      <c r="S179" s="9"/>
    </row>
    <row r="180" spans="2:19" ht="15.75" customHeight="1" x14ac:dyDescent="0.25">
      <c r="B180" s="14"/>
      <c r="C180" s="11"/>
      <c r="D180" s="14"/>
      <c r="E180" s="14"/>
      <c r="F180" s="14"/>
      <c r="R180" s="9"/>
      <c r="S180" s="9"/>
    </row>
    <row r="181" spans="2:19" ht="15.75" customHeight="1" x14ac:dyDescent="0.25">
      <c r="B181" s="14"/>
      <c r="C181" s="11"/>
      <c r="D181" s="14"/>
      <c r="E181" s="14"/>
      <c r="F181" s="14"/>
      <c r="R181" s="9"/>
      <c r="S181" s="9"/>
    </row>
    <row r="182" spans="2:19" ht="15.75" customHeight="1" x14ac:dyDescent="0.25">
      <c r="B182" s="14"/>
      <c r="C182" s="11"/>
      <c r="D182" s="14"/>
      <c r="E182" s="14"/>
      <c r="F182" s="14"/>
      <c r="R182" s="9"/>
      <c r="S182" s="9"/>
    </row>
    <row r="183" spans="2:19" ht="15.75" customHeight="1" x14ac:dyDescent="0.25">
      <c r="B183" s="14"/>
      <c r="C183" s="11"/>
      <c r="D183" s="14"/>
      <c r="E183" s="14"/>
      <c r="F183" s="14"/>
      <c r="R183" s="9"/>
      <c r="S183" s="9"/>
    </row>
    <row r="184" spans="2:19" ht="15.75" customHeight="1" x14ac:dyDescent="0.25">
      <c r="B184" s="14"/>
      <c r="C184" s="11"/>
      <c r="D184" s="14"/>
      <c r="E184" s="14"/>
      <c r="F184" s="14"/>
      <c r="R184" s="9"/>
      <c r="S184" s="9"/>
    </row>
    <row r="185" spans="2:19" ht="15.75" customHeight="1" x14ac:dyDescent="0.25">
      <c r="B185" s="14"/>
      <c r="C185" s="11"/>
      <c r="D185" s="14"/>
      <c r="E185" s="14"/>
      <c r="F185" s="14"/>
      <c r="R185" s="9"/>
      <c r="S185" s="9"/>
    </row>
    <row r="186" spans="2:19" ht="15.75" customHeight="1" x14ac:dyDescent="0.25">
      <c r="B186" s="14"/>
      <c r="C186" s="11"/>
      <c r="D186" s="14"/>
      <c r="E186" s="14"/>
      <c r="F186" s="14"/>
      <c r="R186" s="9"/>
      <c r="S186" s="9"/>
    </row>
    <row r="187" spans="2:19" ht="15.75" customHeight="1" x14ac:dyDescent="0.25">
      <c r="B187" s="14"/>
      <c r="C187" s="11"/>
      <c r="D187" s="14"/>
      <c r="E187" s="14"/>
      <c r="F187" s="14"/>
      <c r="R187" s="9"/>
      <c r="S187" s="9"/>
    </row>
    <row r="188" spans="2:19" ht="15.75" customHeight="1" x14ac:dyDescent="0.25">
      <c r="B188" s="14"/>
      <c r="C188" s="11"/>
      <c r="D188" s="14"/>
      <c r="E188" s="14"/>
      <c r="F188" s="14"/>
      <c r="R188" s="9"/>
      <c r="S188" s="9"/>
    </row>
    <row r="189" spans="2:19" ht="15.75" customHeight="1" x14ac:dyDescent="0.25">
      <c r="B189" s="14"/>
      <c r="C189" s="11"/>
      <c r="D189" s="14"/>
      <c r="E189" s="14"/>
      <c r="F189" s="14"/>
      <c r="R189" s="9"/>
      <c r="S189" s="9"/>
    </row>
    <row r="190" spans="2:19" ht="15.75" customHeight="1" x14ac:dyDescent="0.25">
      <c r="B190" s="14"/>
      <c r="C190" s="11"/>
      <c r="D190" s="14"/>
      <c r="E190" s="14"/>
      <c r="F190" s="14"/>
      <c r="R190" s="9"/>
      <c r="S190" s="9"/>
    </row>
    <row r="191" spans="2:19" ht="15.75" customHeight="1" x14ac:dyDescent="0.25">
      <c r="B191" s="14"/>
      <c r="C191" s="11"/>
      <c r="D191" s="14"/>
      <c r="E191" s="14"/>
      <c r="F191" s="14"/>
      <c r="R191" s="9"/>
      <c r="S191" s="9"/>
    </row>
    <row r="192" spans="2:19" ht="15.75" customHeight="1" x14ac:dyDescent="0.25">
      <c r="B192" s="14"/>
      <c r="C192" s="11"/>
      <c r="D192" s="14"/>
      <c r="E192" s="14"/>
      <c r="F192" s="14"/>
      <c r="R192" s="9"/>
      <c r="S192" s="9"/>
    </row>
    <row r="193" spans="2:19" ht="15.75" customHeight="1" x14ac:dyDescent="0.25">
      <c r="B193" s="14"/>
      <c r="C193" s="11"/>
      <c r="D193" s="14"/>
      <c r="E193" s="14"/>
      <c r="F193" s="14"/>
      <c r="R193" s="9"/>
      <c r="S193" s="9"/>
    </row>
    <row r="194" spans="2:19" ht="15.75" customHeight="1" x14ac:dyDescent="0.25">
      <c r="B194" s="14"/>
      <c r="C194" s="11"/>
      <c r="D194" s="14"/>
      <c r="E194" s="14"/>
      <c r="F194" s="14"/>
      <c r="R194" s="9"/>
      <c r="S194" s="9"/>
    </row>
    <row r="195" spans="2:19" ht="15.75" customHeight="1" x14ac:dyDescent="0.25">
      <c r="B195" s="14"/>
      <c r="C195" s="11"/>
      <c r="D195" s="14"/>
      <c r="E195" s="14"/>
      <c r="F195" s="14"/>
      <c r="R195" s="9"/>
      <c r="S195" s="9"/>
    </row>
    <row r="196" spans="2:19" ht="15.75" customHeight="1" x14ac:dyDescent="0.25">
      <c r="B196" s="14"/>
      <c r="C196" s="11"/>
      <c r="D196" s="14"/>
      <c r="E196" s="14"/>
      <c r="F196" s="14"/>
      <c r="R196" s="9"/>
      <c r="S196" s="9"/>
    </row>
    <row r="197" spans="2:19" ht="15.75" customHeight="1" x14ac:dyDescent="0.25">
      <c r="B197" s="14"/>
      <c r="C197" s="11"/>
      <c r="D197" s="14"/>
      <c r="E197" s="14"/>
      <c r="F197" s="14"/>
      <c r="R197" s="9"/>
      <c r="S197" s="9"/>
    </row>
    <row r="198" spans="2:19" ht="15.75" customHeight="1" x14ac:dyDescent="0.25">
      <c r="B198" s="14"/>
      <c r="C198" s="11"/>
      <c r="D198" s="14"/>
      <c r="E198" s="14"/>
      <c r="F198" s="14"/>
      <c r="R198" s="9"/>
      <c r="S198" s="9"/>
    </row>
    <row r="199" spans="2:19" ht="15.75" customHeight="1" x14ac:dyDescent="0.25">
      <c r="B199" s="14"/>
      <c r="C199" s="11"/>
      <c r="D199" s="14"/>
      <c r="E199" s="14"/>
      <c r="F199" s="14"/>
      <c r="R199" s="9"/>
      <c r="S199" s="9"/>
    </row>
    <row r="200" spans="2:19" ht="15.75" customHeight="1" x14ac:dyDescent="0.25">
      <c r="B200" s="14"/>
      <c r="C200" s="11"/>
      <c r="D200" s="14"/>
      <c r="E200" s="14"/>
      <c r="F200" s="14"/>
      <c r="R200" s="9"/>
      <c r="S200" s="9"/>
    </row>
    <row r="201" spans="2:19" ht="15.75" customHeight="1" x14ac:dyDescent="0.25">
      <c r="B201" s="14"/>
      <c r="C201" s="11"/>
      <c r="D201" s="14"/>
      <c r="E201" s="14"/>
      <c r="F201" s="14"/>
      <c r="R201" s="9"/>
      <c r="S201" s="9"/>
    </row>
    <row r="202" spans="2:19" ht="15.75" customHeight="1" x14ac:dyDescent="0.25">
      <c r="B202" s="14"/>
      <c r="C202" s="11"/>
      <c r="D202" s="14"/>
      <c r="E202" s="14"/>
      <c r="F202" s="14"/>
      <c r="R202" s="9"/>
      <c r="S202" s="9"/>
    </row>
    <row r="203" spans="2:19" ht="15.75" customHeight="1" x14ac:dyDescent="0.25">
      <c r="B203" s="14"/>
      <c r="C203" s="11"/>
      <c r="D203" s="14"/>
      <c r="E203" s="14"/>
      <c r="F203" s="14"/>
      <c r="R203" s="9"/>
      <c r="S203" s="9"/>
    </row>
    <row r="204" spans="2:19" ht="15.75" customHeight="1" x14ac:dyDescent="0.25">
      <c r="B204" s="14"/>
      <c r="C204" s="11"/>
      <c r="D204" s="14"/>
      <c r="E204" s="14"/>
      <c r="F204" s="14"/>
      <c r="R204" s="9"/>
      <c r="S204" s="9"/>
    </row>
    <row r="205" spans="2:19" ht="15.75" customHeight="1" x14ac:dyDescent="0.25">
      <c r="B205" s="14"/>
      <c r="C205" s="11"/>
      <c r="D205" s="14"/>
      <c r="E205" s="14"/>
      <c r="F205" s="14"/>
      <c r="R205" s="9"/>
      <c r="S205" s="9"/>
    </row>
    <row r="206" spans="2:19" ht="15.75" customHeight="1" x14ac:dyDescent="0.25">
      <c r="B206" s="14"/>
      <c r="C206" s="11"/>
      <c r="D206" s="14"/>
      <c r="E206" s="14"/>
      <c r="F206" s="14"/>
      <c r="R206" s="9"/>
      <c r="S206" s="9"/>
    </row>
    <row r="207" spans="2:19" ht="15.75" customHeight="1" x14ac:dyDescent="0.25">
      <c r="B207" s="14"/>
      <c r="C207" s="11"/>
      <c r="D207" s="14"/>
      <c r="E207" s="14"/>
      <c r="F207" s="14"/>
      <c r="R207" s="9"/>
      <c r="S207" s="9"/>
    </row>
    <row r="208" spans="2:19" ht="15.75" customHeight="1" x14ac:dyDescent="0.25">
      <c r="B208" s="14"/>
      <c r="C208" s="11"/>
      <c r="D208" s="14"/>
      <c r="E208" s="14"/>
      <c r="F208" s="14"/>
      <c r="R208" s="9"/>
      <c r="S208" s="9"/>
    </row>
    <row r="209" spans="2:19" ht="15.75" customHeight="1" x14ac:dyDescent="0.25">
      <c r="B209" s="14"/>
      <c r="C209" s="11"/>
      <c r="D209" s="14"/>
      <c r="E209" s="14"/>
      <c r="F209" s="14"/>
      <c r="R209" s="9"/>
      <c r="S209" s="9"/>
    </row>
    <row r="210" spans="2:19" ht="15.75" customHeight="1" x14ac:dyDescent="0.25">
      <c r="B210" s="14"/>
      <c r="C210" s="11"/>
      <c r="D210" s="14"/>
      <c r="E210" s="14"/>
      <c r="F210" s="14"/>
      <c r="R210" s="9"/>
      <c r="S210" s="9"/>
    </row>
    <row r="211" spans="2:19" ht="15.75" customHeight="1" x14ac:dyDescent="0.25">
      <c r="B211" s="14"/>
      <c r="C211" s="11"/>
      <c r="D211" s="14"/>
      <c r="E211" s="14"/>
      <c r="F211" s="14"/>
      <c r="R211" s="9"/>
      <c r="S211" s="9"/>
    </row>
    <row r="212" spans="2:19" ht="15.75" customHeight="1" x14ac:dyDescent="0.25">
      <c r="B212" s="14"/>
      <c r="C212" s="11"/>
      <c r="D212" s="14"/>
      <c r="E212" s="14"/>
      <c r="F212" s="14"/>
      <c r="R212" s="9"/>
      <c r="S212" s="9"/>
    </row>
    <row r="213" spans="2:19" ht="15.75" customHeight="1" x14ac:dyDescent="0.25">
      <c r="B213" s="14"/>
      <c r="C213" s="11"/>
      <c r="D213" s="14"/>
      <c r="E213" s="14"/>
      <c r="F213" s="14"/>
      <c r="R213" s="9"/>
      <c r="S213" s="9"/>
    </row>
    <row r="214" spans="2:19" ht="15.75" customHeight="1" x14ac:dyDescent="0.25">
      <c r="B214" s="14"/>
      <c r="C214" s="11"/>
      <c r="D214" s="14"/>
      <c r="E214" s="14"/>
      <c r="F214" s="14"/>
      <c r="R214" s="9"/>
      <c r="S214" s="9"/>
    </row>
    <row r="215" spans="2:19" ht="15.75" customHeight="1" x14ac:dyDescent="0.25">
      <c r="B215" s="14"/>
      <c r="C215" s="11"/>
      <c r="D215" s="14"/>
      <c r="E215" s="14"/>
      <c r="F215" s="14"/>
      <c r="R215" s="9"/>
      <c r="S215" s="9"/>
    </row>
    <row r="216" spans="2:19" ht="15.75" customHeight="1" x14ac:dyDescent="0.25">
      <c r="B216" s="14"/>
      <c r="C216" s="11"/>
      <c r="D216" s="14"/>
      <c r="E216" s="14"/>
      <c r="F216" s="14"/>
      <c r="R216" s="9"/>
      <c r="S216" s="9"/>
    </row>
    <row r="217" spans="2:19" ht="15.75" customHeight="1" x14ac:dyDescent="0.25">
      <c r="B217" s="14"/>
      <c r="C217" s="11"/>
      <c r="D217" s="14"/>
      <c r="E217" s="14"/>
      <c r="F217" s="14"/>
      <c r="R217" s="9"/>
      <c r="S217" s="9"/>
    </row>
    <row r="218" spans="2:19" ht="15.75" customHeight="1" x14ac:dyDescent="0.25">
      <c r="B218" s="14"/>
      <c r="C218" s="11"/>
      <c r="D218" s="14"/>
      <c r="E218" s="14"/>
      <c r="F218" s="14"/>
      <c r="R218" s="9"/>
      <c r="S218" s="9"/>
    </row>
    <row r="219" spans="2:19" ht="15.75" customHeight="1" x14ac:dyDescent="0.25">
      <c r="B219" s="14"/>
      <c r="C219" s="11"/>
      <c r="D219" s="14"/>
      <c r="E219" s="14"/>
      <c r="F219" s="14"/>
      <c r="R219" s="9"/>
      <c r="S219" s="9"/>
    </row>
    <row r="220" spans="2:19" ht="15.75" customHeight="1" x14ac:dyDescent="0.25">
      <c r="B220" s="14"/>
      <c r="C220" s="11"/>
      <c r="D220" s="14"/>
      <c r="E220" s="14"/>
      <c r="F220" s="14"/>
      <c r="R220" s="9"/>
      <c r="S220" s="9"/>
    </row>
    <row r="221" spans="2:19" ht="15.75" customHeight="1" x14ac:dyDescent="0.25">
      <c r="B221" s="14"/>
      <c r="C221" s="11"/>
      <c r="D221" s="14"/>
      <c r="E221" s="14"/>
      <c r="F221" s="14"/>
      <c r="R221" s="9"/>
      <c r="S221" s="9"/>
    </row>
    <row r="222" spans="2:19" ht="15.75" customHeight="1" x14ac:dyDescent="0.25">
      <c r="B222" s="14"/>
      <c r="C222" s="11"/>
      <c r="D222" s="14"/>
      <c r="E222" s="14"/>
      <c r="F222" s="14"/>
      <c r="R222" s="9"/>
      <c r="S222" s="9"/>
    </row>
    <row r="223" spans="2:19" ht="15.75" customHeight="1" x14ac:dyDescent="0.25">
      <c r="B223" s="14"/>
      <c r="C223" s="11"/>
      <c r="D223" s="14"/>
      <c r="E223" s="14"/>
      <c r="F223" s="14"/>
      <c r="R223" s="9"/>
      <c r="S223" s="9"/>
    </row>
    <row r="224" spans="2:19" ht="15.75" customHeight="1" x14ac:dyDescent="0.25">
      <c r="B224" s="14"/>
      <c r="C224" s="11"/>
      <c r="D224" s="14"/>
      <c r="E224" s="14"/>
      <c r="F224" s="14"/>
      <c r="R224" s="9"/>
      <c r="S224" s="9"/>
    </row>
    <row r="225" spans="2:19" ht="15.75" customHeight="1" x14ac:dyDescent="0.25">
      <c r="B225" s="14"/>
      <c r="C225" s="11"/>
      <c r="D225" s="14"/>
      <c r="E225" s="14"/>
      <c r="F225" s="14"/>
      <c r="R225" s="9"/>
      <c r="S225" s="9"/>
    </row>
    <row r="226" spans="2:19" ht="15.75" customHeight="1" x14ac:dyDescent="0.25">
      <c r="B226" s="14"/>
      <c r="C226" s="11"/>
      <c r="D226" s="14"/>
      <c r="E226" s="14"/>
      <c r="F226" s="14"/>
      <c r="R226" s="9"/>
      <c r="S226" s="9"/>
    </row>
    <row r="227" spans="2:19" ht="15.75" customHeight="1" x14ac:dyDescent="0.25">
      <c r="B227" s="14"/>
      <c r="C227" s="11"/>
      <c r="D227" s="14"/>
      <c r="E227" s="14"/>
      <c r="F227" s="14"/>
      <c r="R227" s="9"/>
      <c r="S227" s="9"/>
    </row>
    <row r="228" spans="2:19" ht="15.75" customHeight="1" x14ac:dyDescent="0.25">
      <c r="B228" s="14"/>
      <c r="C228" s="11"/>
      <c r="D228" s="14"/>
      <c r="E228" s="14"/>
      <c r="F228" s="14"/>
      <c r="R228" s="9"/>
      <c r="S228" s="9"/>
    </row>
    <row r="229" spans="2:19" ht="15.75" customHeight="1" x14ac:dyDescent="0.25">
      <c r="B229" s="14"/>
      <c r="C229" s="11"/>
      <c r="D229" s="14"/>
      <c r="E229" s="14"/>
      <c r="F229" s="14"/>
      <c r="R229" s="9"/>
      <c r="S229" s="9"/>
    </row>
    <row r="230" spans="2:19" ht="15.75" customHeight="1" x14ac:dyDescent="0.25">
      <c r="B230" s="14"/>
      <c r="C230" s="11"/>
      <c r="D230" s="14"/>
      <c r="E230" s="14"/>
      <c r="F230" s="14"/>
      <c r="R230" s="9"/>
      <c r="S230" s="9"/>
    </row>
    <row r="231" spans="2:19" ht="15.75" customHeight="1" x14ac:dyDescent="0.25">
      <c r="B231" s="14"/>
      <c r="C231" s="11"/>
      <c r="D231" s="14"/>
      <c r="E231" s="14"/>
      <c r="F231" s="14"/>
      <c r="R231" s="9"/>
      <c r="S231" s="9"/>
    </row>
    <row r="232" spans="2:19" ht="15.75" customHeight="1" x14ac:dyDescent="0.25">
      <c r="B232" s="14"/>
      <c r="C232" s="11"/>
      <c r="D232" s="14"/>
      <c r="E232" s="14"/>
      <c r="F232" s="14"/>
      <c r="R232" s="9"/>
      <c r="S232" s="9"/>
    </row>
    <row r="233" spans="2:19" ht="15.75" customHeight="1" x14ac:dyDescent="0.25">
      <c r="B233" s="14"/>
      <c r="C233" s="11"/>
      <c r="D233" s="14"/>
      <c r="E233" s="14"/>
      <c r="F233" s="14"/>
      <c r="R233" s="9"/>
      <c r="S233" s="9"/>
    </row>
    <row r="234" spans="2:19" ht="15.75" customHeight="1" x14ac:dyDescent="0.25">
      <c r="B234" s="14"/>
      <c r="C234" s="11"/>
      <c r="D234" s="14"/>
      <c r="E234" s="14"/>
      <c r="F234" s="14"/>
      <c r="R234" s="9"/>
      <c r="S234" s="9"/>
    </row>
    <row r="235" spans="2:19" ht="15.75" customHeight="1" x14ac:dyDescent="0.25">
      <c r="B235" s="14"/>
      <c r="C235" s="11"/>
      <c r="D235" s="14"/>
      <c r="E235" s="14"/>
      <c r="F235" s="14"/>
      <c r="R235" s="9"/>
      <c r="S235" s="9"/>
    </row>
    <row r="236" spans="2:19" ht="15.75" customHeight="1" x14ac:dyDescent="0.25">
      <c r="B236" s="14"/>
      <c r="C236" s="11"/>
      <c r="D236" s="14"/>
      <c r="E236" s="14"/>
      <c r="F236" s="14"/>
      <c r="R236" s="9"/>
      <c r="S236" s="9"/>
    </row>
    <row r="237" spans="2:19" ht="15.75" customHeight="1" x14ac:dyDescent="0.25">
      <c r="B237" s="14"/>
      <c r="C237" s="11"/>
      <c r="D237" s="14"/>
      <c r="E237" s="14"/>
      <c r="F237" s="14"/>
      <c r="R237" s="9"/>
      <c r="S237" s="9"/>
    </row>
    <row r="238" spans="2:19" ht="15.75" customHeight="1" x14ac:dyDescent="0.25">
      <c r="B238" s="14"/>
      <c r="C238" s="11"/>
      <c r="D238" s="14"/>
      <c r="E238" s="14"/>
      <c r="F238" s="14"/>
      <c r="R238" s="9"/>
      <c r="S238" s="9"/>
    </row>
    <row r="239" spans="2:19" ht="15.75" customHeight="1" x14ac:dyDescent="0.25">
      <c r="B239" s="14"/>
      <c r="C239" s="11"/>
      <c r="D239" s="14"/>
      <c r="E239" s="14"/>
      <c r="F239" s="14"/>
      <c r="R239" s="9"/>
      <c r="S239" s="9"/>
    </row>
    <row r="240" spans="2:19" ht="15.75" customHeight="1" x14ac:dyDescent="0.25">
      <c r="B240" s="14"/>
      <c r="C240" s="11"/>
      <c r="D240" s="14"/>
      <c r="E240" s="14"/>
      <c r="F240" s="14"/>
      <c r="R240" s="9"/>
      <c r="S240" s="9"/>
    </row>
    <row r="241" spans="2:19" ht="15.75" customHeight="1" x14ac:dyDescent="0.25">
      <c r="B241" s="14"/>
      <c r="C241" s="11"/>
      <c r="D241" s="14"/>
      <c r="E241" s="14"/>
      <c r="F241" s="14"/>
      <c r="R241" s="9"/>
      <c r="S241" s="9"/>
    </row>
    <row r="242" spans="2:19" ht="15.75" customHeight="1" x14ac:dyDescent="0.25">
      <c r="B242" s="14"/>
      <c r="C242" s="11"/>
      <c r="D242" s="14"/>
      <c r="E242" s="14"/>
      <c r="F242" s="14"/>
      <c r="R242" s="9"/>
      <c r="S242" s="9"/>
    </row>
    <row r="243" spans="2:19" ht="15.75" customHeight="1" x14ac:dyDescent="0.25">
      <c r="B243" s="14"/>
      <c r="C243" s="11"/>
      <c r="D243" s="14"/>
      <c r="E243" s="14"/>
      <c r="F243" s="14"/>
      <c r="R243" s="9"/>
      <c r="S243" s="9"/>
    </row>
    <row r="244" spans="2:19" ht="15.75" customHeight="1" x14ac:dyDescent="0.25">
      <c r="B244" s="14"/>
      <c r="C244" s="11"/>
      <c r="D244" s="14"/>
      <c r="E244" s="14"/>
      <c r="F244" s="14"/>
      <c r="R244" s="9"/>
      <c r="S244" s="9"/>
    </row>
    <row r="245" spans="2:19" ht="15.75" customHeight="1" x14ac:dyDescent="0.25">
      <c r="B245" s="14"/>
      <c r="C245" s="11"/>
      <c r="D245" s="14"/>
      <c r="E245" s="14"/>
      <c r="F245" s="14"/>
      <c r="R245" s="9"/>
      <c r="S245" s="9"/>
    </row>
    <row r="246" spans="2:19" ht="15.75" customHeight="1" x14ac:dyDescent="0.25">
      <c r="B246" s="14"/>
      <c r="C246" s="11"/>
      <c r="D246" s="14"/>
      <c r="E246" s="14"/>
      <c r="F246" s="14"/>
      <c r="R246" s="9"/>
      <c r="S246" s="9"/>
    </row>
    <row r="247" spans="2:19" ht="15.75" customHeight="1" x14ac:dyDescent="0.25">
      <c r="B247" s="14"/>
      <c r="C247" s="11"/>
      <c r="D247" s="14"/>
      <c r="E247" s="14"/>
      <c r="F247" s="14"/>
      <c r="R247" s="9"/>
      <c r="S247" s="9"/>
    </row>
    <row r="248" spans="2:19" ht="15.75" customHeight="1" x14ac:dyDescent="0.25">
      <c r="B248" s="14"/>
      <c r="C248" s="11"/>
      <c r="D248" s="14"/>
      <c r="E248" s="14"/>
      <c r="F248" s="14"/>
      <c r="R248" s="9"/>
      <c r="S248" s="9"/>
    </row>
    <row r="249" spans="2:19" ht="15.75" customHeight="1" x14ac:dyDescent="0.25">
      <c r="B249" s="14"/>
      <c r="C249" s="11"/>
      <c r="D249" s="14"/>
      <c r="E249" s="14"/>
      <c r="F249" s="14"/>
      <c r="R249" s="9"/>
      <c r="S249" s="9"/>
    </row>
    <row r="250" spans="2:19" ht="15.75" customHeight="1" x14ac:dyDescent="0.25">
      <c r="B250" s="14"/>
      <c r="C250" s="11"/>
      <c r="D250" s="14"/>
      <c r="E250" s="14"/>
      <c r="F250" s="14"/>
      <c r="R250" s="9"/>
      <c r="S250" s="9"/>
    </row>
    <row r="251" spans="2:19" ht="15.75" customHeight="1" x14ac:dyDescent="0.25">
      <c r="B251" s="14"/>
      <c r="C251" s="11"/>
      <c r="D251" s="14"/>
      <c r="E251" s="14"/>
      <c r="F251" s="14"/>
      <c r="R251" s="9"/>
      <c r="S251" s="9"/>
    </row>
    <row r="252" spans="2:19" ht="15.75" customHeight="1" x14ac:dyDescent="0.25">
      <c r="B252" s="14"/>
      <c r="C252" s="11"/>
      <c r="D252" s="14"/>
      <c r="E252" s="14"/>
      <c r="F252" s="14"/>
      <c r="R252" s="9"/>
      <c r="S252" s="9"/>
    </row>
    <row r="253" spans="2:19" ht="15.75" customHeight="1" x14ac:dyDescent="0.25">
      <c r="B253" s="14"/>
      <c r="C253" s="11"/>
      <c r="D253" s="14"/>
      <c r="E253" s="14"/>
      <c r="F253" s="14"/>
      <c r="R253" s="9"/>
      <c r="S253" s="9"/>
    </row>
    <row r="254" spans="2:19" ht="15.75" customHeight="1" x14ac:dyDescent="0.25">
      <c r="B254" s="14"/>
      <c r="C254" s="11"/>
      <c r="D254" s="14"/>
      <c r="E254" s="14"/>
      <c r="F254" s="14"/>
      <c r="R254" s="9"/>
      <c r="S254" s="9"/>
    </row>
    <row r="255" spans="2:19" ht="15.75" customHeight="1" x14ac:dyDescent="0.25">
      <c r="B255" s="14"/>
      <c r="C255" s="11"/>
      <c r="D255" s="14"/>
      <c r="E255" s="14"/>
      <c r="F255" s="14"/>
      <c r="R255" s="9"/>
      <c r="S255" s="9"/>
    </row>
    <row r="256" spans="2:19" ht="15.75" customHeight="1" x14ac:dyDescent="0.25">
      <c r="B256" s="14"/>
      <c r="C256" s="11"/>
      <c r="D256" s="14"/>
      <c r="E256" s="14"/>
      <c r="F256" s="14"/>
      <c r="R256" s="9"/>
      <c r="S256" s="9"/>
    </row>
    <row r="257" spans="2:19" ht="15.75" customHeight="1" x14ac:dyDescent="0.25">
      <c r="B257" s="14"/>
      <c r="C257" s="11"/>
      <c r="D257" s="14"/>
      <c r="E257" s="14"/>
      <c r="F257" s="14"/>
      <c r="R257" s="9"/>
      <c r="S257" s="9"/>
    </row>
    <row r="258" spans="2:19" ht="15.75" customHeight="1" x14ac:dyDescent="0.25">
      <c r="B258" s="14"/>
      <c r="C258" s="11"/>
      <c r="D258" s="14"/>
      <c r="E258" s="14"/>
      <c r="F258" s="14"/>
      <c r="R258" s="9"/>
      <c r="S258" s="9"/>
    </row>
    <row r="259" spans="2:19" ht="15.75" customHeight="1" x14ac:dyDescent="0.25">
      <c r="B259" s="14"/>
      <c r="C259" s="11"/>
      <c r="D259" s="14"/>
      <c r="E259" s="14"/>
      <c r="F259" s="14"/>
      <c r="R259" s="9"/>
      <c r="S259" s="9"/>
    </row>
    <row r="260" spans="2:19" ht="15.75" customHeight="1" x14ac:dyDescent="0.25">
      <c r="B260" s="14"/>
      <c r="C260" s="11"/>
      <c r="D260" s="14"/>
      <c r="E260" s="14"/>
      <c r="F260" s="14"/>
      <c r="R260" s="9"/>
      <c r="S260" s="9"/>
    </row>
    <row r="261" spans="2:19" ht="15.75" customHeight="1" x14ac:dyDescent="0.25">
      <c r="B261" s="14"/>
      <c r="C261" s="11"/>
      <c r="D261" s="14"/>
      <c r="E261" s="14"/>
      <c r="F261" s="14"/>
      <c r="R261" s="9"/>
      <c r="S261" s="9"/>
    </row>
    <row r="262" spans="2:19" ht="15.75" customHeight="1" x14ac:dyDescent="0.25">
      <c r="B262" s="14"/>
      <c r="C262" s="11"/>
      <c r="D262" s="14"/>
      <c r="E262" s="14"/>
      <c r="F262" s="14"/>
      <c r="R262" s="9"/>
      <c r="S262" s="9"/>
    </row>
    <row r="263" spans="2:19" ht="15.75" customHeight="1" x14ac:dyDescent="0.25">
      <c r="B263" s="14"/>
      <c r="C263" s="11"/>
      <c r="D263" s="14"/>
      <c r="E263" s="14"/>
      <c r="F263" s="14"/>
      <c r="R263" s="9"/>
      <c r="S263" s="9"/>
    </row>
    <row r="264" spans="2:19" ht="15.75" customHeight="1" x14ac:dyDescent="0.25">
      <c r="B264" s="14"/>
      <c r="C264" s="11"/>
      <c r="D264" s="14"/>
      <c r="E264" s="14"/>
      <c r="F264" s="14"/>
      <c r="R264" s="9"/>
      <c r="S264" s="9"/>
    </row>
    <row r="265" spans="2:19" ht="15.75" customHeight="1" x14ac:dyDescent="0.25">
      <c r="B265" s="14"/>
      <c r="C265" s="11"/>
      <c r="D265" s="14"/>
      <c r="E265" s="14"/>
      <c r="F265" s="14"/>
      <c r="R265" s="9"/>
      <c r="S265" s="9"/>
    </row>
    <row r="266" spans="2:19" ht="15.75" customHeight="1" x14ac:dyDescent="0.25">
      <c r="B266" s="14"/>
      <c r="C266" s="11"/>
      <c r="D266" s="14"/>
      <c r="E266" s="14"/>
      <c r="F266" s="14"/>
      <c r="R266" s="9"/>
      <c r="S266" s="9"/>
    </row>
    <row r="267" spans="2:19" ht="15.75" customHeight="1" x14ac:dyDescent="0.25">
      <c r="B267" s="14"/>
      <c r="C267" s="11"/>
      <c r="D267" s="14"/>
      <c r="E267" s="14"/>
      <c r="F267" s="14"/>
      <c r="R267" s="9"/>
      <c r="S267" s="9"/>
    </row>
    <row r="268" spans="2:19" ht="15.75" customHeight="1" x14ac:dyDescent="0.25">
      <c r="B268" s="14"/>
      <c r="C268" s="11"/>
      <c r="D268" s="14"/>
      <c r="E268" s="14"/>
      <c r="F268" s="14"/>
      <c r="R268" s="9"/>
      <c r="S268" s="9"/>
    </row>
    <row r="269" spans="2:19" ht="15.75" customHeight="1" x14ac:dyDescent="0.25">
      <c r="B269" s="14"/>
      <c r="C269" s="11"/>
      <c r="D269" s="14"/>
      <c r="E269" s="14"/>
      <c r="F269" s="14"/>
      <c r="R269" s="9"/>
      <c r="S269" s="9"/>
    </row>
    <row r="270" spans="2:19" ht="15.75" customHeight="1" x14ac:dyDescent="0.25">
      <c r="B270" s="14"/>
      <c r="C270" s="11"/>
      <c r="D270" s="14"/>
      <c r="E270" s="14"/>
      <c r="F270" s="14"/>
      <c r="R270" s="9"/>
      <c r="S270" s="9"/>
    </row>
    <row r="271" spans="2:19" ht="15.75" customHeight="1" x14ac:dyDescent="0.25">
      <c r="B271" s="14"/>
      <c r="C271" s="11"/>
      <c r="D271" s="14"/>
      <c r="E271" s="14"/>
      <c r="F271" s="14"/>
      <c r="R271" s="9"/>
      <c r="S271" s="9"/>
    </row>
    <row r="272" spans="2:19" ht="15.75" customHeight="1" x14ac:dyDescent="0.25">
      <c r="B272" s="14"/>
      <c r="C272" s="11"/>
      <c r="D272" s="14"/>
      <c r="E272" s="14"/>
      <c r="F272" s="14"/>
      <c r="R272" s="9"/>
      <c r="S272" s="9"/>
    </row>
    <row r="273" spans="2:19" ht="15.75" customHeight="1" x14ac:dyDescent="0.25">
      <c r="B273" s="14"/>
      <c r="C273" s="11"/>
      <c r="D273" s="14"/>
      <c r="E273" s="14"/>
      <c r="F273" s="14"/>
      <c r="R273" s="9"/>
      <c r="S273" s="9"/>
    </row>
    <row r="274" spans="2:19" ht="15.75" customHeight="1" x14ac:dyDescent="0.25">
      <c r="B274" s="14"/>
      <c r="C274" s="11"/>
      <c r="D274" s="14"/>
      <c r="E274" s="14"/>
      <c r="F274" s="14"/>
      <c r="R274" s="9"/>
      <c r="S274" s="9"/>
    </row>
    <row r="275" spans="2:19" ht="15.75" customHeight="1" x14ac:dyDescent="0.25">
      <c r="B275" s="14"/>
      <c r="C275" s="11"/>
      <c r="D275" s="14"/>
      <c r="E275" s="14"/>
      <c r="F275" s="14"/>
      <c r="R275" s="9"/>
      <c r="S275" s="9"/>
    </row>
    <row r="276" spans="2:19" ht="15.75" customHeight="1" x14ac:dyDescent="0.25">
      <c r="B276" s="14"/>
      <c r="C276" s="11"/>
      <c r="D276" s="14"/>
      <c r="E276" s="14"/>
      <c r="F276" s="14"/>
      <c r="R276" s="9"/>
      <c r="S276" s="9"/>
    </row>
    <row r="277" spans="2:19" ht="15.75" customHeight="1" x14ac:dyDescent="0.25">
      <c r="B277" s="14"/>
      <c r="C277" s="11"/>
      <c r="D277" s="14"/>
      <c r="E277" s="14"/>
      <c r="F277" s="14"/>
      <c r="R277" s="9"/>
      <c r="S277" s="9"/>
    </row>
    <row r="278" spans="2:19" ht="15.75" customHeight="1" x14ac:dyDescent="0.25">
      <c r="B278" s="14"/>
      <c r="C278" s="11"/>
      <c r="D278" s="14"/>
      <c r="E278" s="14"/>
      <c r="F278" s="14"/>
      <c r="R278" s="9"/>
      <c r="S278" s="9"/>
    </row>
    <row r="279" spans="2:19" ht="15.75" customHeight="1" x14ac:dyDescent="0.25">
      <c r="B279" s="14"/>
      <c r="C279" s="11"/>
      <c r="D279" s="14"/>
      <c r="E279" s="14"/>
      <c r="F279" s="14"/>
      <c r="R279" s="9"/>
      <c r="S279" s="9"/>
    </row>
    <row r="280" spans="2:19" ht="15.75" customHeight="1" x14ac:dyDescent="0.25">
      <c r="B280" s="14"/>
      <c r="C280" s="11"/>
      <c r="D280" s="14"/>
      <c r="E280" s="14"/>
      <c r="F280" s="14"/>
      <c r="R280" s="9"/>
      <c r="S280" s="9"/>
    </row>
    <row r="281" spans="2:19" ht="15.75" customHeight="1" x14ac:dyDescent="0.25">
      <c r="B281" s="14"/>
      <c r="C281" s="11"/>
      <c r="D281" s="14"/>
      <c r="E281" s="14"/>
      <c r="F281" s="14"/>
      <c r="R281" s="9"/>
      <c r="S281" s="9"/>
    </row>
    <row r="282" spans="2:19" ht="15.75" customHeight="1" x14ac:dyDescent="0.25">
      <c r="B282" s="14"/>
      <c r="C282" s="11"/>
      <c r="D282" s="14"/>
      <c r="E282" s="14"/>
      <c r="F282" s="14"/>
      <c r="R282" s="9"/>
      <c r="S282" s="9"/>
    </row>
    <row r="283" spans="2:19" ht="15.75" customHeight="1" x14ac:dyDescent="0.25">
      <c r="B283" s="14"/>
      <c r="C283" s="11"/>
      <c r="D283" s="14"/>
      <c r="E283" s="14"/>
      <c r="F283" s="14"/>
      <c r="R283" s="9"/>
      <c r="S283" s="9"/>
    </row>
    <row r="284" spans="2:19" ht="15.75" customHeight="1" x14ac:dyDescent="0.25">
      <c r="B284" s="14"/>
      <c r="C284" s="11"/>
      <c r="D284" s="14"/>
      <c r="E284" s="14"/>
      <c r="F284" s="14"/>
      <c r="R284" s="9"/>
      <c r="S284" s="9"/>
    </row>
    <row r="285" spans="2:19" ht="15.75" customHeight="1" x14ac:dyDescent="0.25">
      <c r="B285" s="14"/>
      <c r="C285" s="11"/>
      <c r="D285" s="14"/>
      <c r="E285" s="14"/>
      <c r="F285" s="14"/>
      <c r="R285" s="9"/>
      <c r="S285" s="9"/>
    </row>
    <row r="286" spans="2:19" ht="15.75" customHeight="1" x14ac:dyDescent="0.25">
      <c r="B286" s="14"/>
      <c r="C286" s="11"/>
      <c r="D286" s="14"/>
      <c r="E286" s="14"/>
      <c r="F286" s="14"/>
      <c r="R286" s="9"/>
      <c r="S286" s="9"/>
    </row>
    <row r="287" spans="2:19" ht="15.75" customHeight="1" x14ac:dyDescent="0.25">
      <c r="B287" s="14"/>
      <c r="C287" s="11"/>
      <c r="D287" s="14"/>
      <c r="E287" s="14"/>
      <c r="F287" s="14"/>
      <c r="R287" s="9"/>
      <c r="S287" s="9"/>
    </row>
    <row r="288" spans="2:19" ht="15.75" customHeight="1" x14ac:dyDescent="0.25">
      <c r="B288" s="14"/>
      <c r="C288" s="11"/>
      <c r="D288" s="14"/>
      <c r="E288" s="14"/>
      <c r="F288" s="14"/>
      <c r="R288" s="9"/>
      <c r="S288" s="9"/>
    </row>
    <row r="289" spans="2:19" ht="15.75" customHeight="1" x14ac:dyDescent="0.25">
      <c r="B289" s="14"/>
      <c r="C289" s="11"/>
      <c r="D289" s="14"/>
      <c r="E289" s="14"/>
      <c r="F289" s="14"/>
      <c r="R289" s="9"/>
      <c r="S289" s="9"/>
    </row>
    <row r="290" spans="2:19" ht="15.75" customHeight="1" x14ac:dyDescent="0.25">
      <c r="B290" s="14"/>
      <c r="C290" s="11"/>
      <c r="D290" s="14"/>
      <c r="E290" s="14"/>
      <c r="F290" s="14"/>
      <c r="R290" s="9"/>
      <c r="S290" s="9"/>
    </row>
    <row r="291" spans="2:19" ht="15.75" customHeight="1" x14ac:dyDescent="0.25">
      <c r="B291" s="14"/>
      <c r="C291" s="11"/>
      <c r="D291" s="14"/>
      <c r="E291" s="14"/>
      <c r="F291" s="14"/>
      <c r="R291" s="9"/>
      <c r="S291" s="9"/>
    </row>
    <row r="292" spans="2:19" ht="15.75" customHeight="1" x14ac:dyDescent="0.25">
      <c r="B292" s="14"/>
      <c r="C292" s="11"/>
      <c r="D292" s="14"/>
      <c r="E292" s="14"/>
      <c r="F292" s="14"/>
      <c r="R292" s="9"/>
      <c r="S292" s="9"/>
    </row>
    <row r="293" spans="2:19" ht="15.75" customHeight="1" x14ac:dyDescent="0.25">
      <c r="B293" s="14"/>
      <c r="C293" s="11"/>
      <c r="D293" s="14"/>
      <c r="E293" s="14"/>
      <c r="F293" s="14"/>
      <c r="R293" s="9"/>
      <c r="S293" s="9"/>
    </row>
    <row r="294" spans="2:19" ht="15.75" customHeight="1" x14ac:dyDescent="0.25">
      <c r="B294" s="14"/>
      <c r="C294" s="11"/>
      <c r="D294" s="14"/>
      <c r="E294" s="14"/>
      <c r="F294" s="14"/>
      <c r="R294" s="9"/>
      <c r="S294" s="9"/>
    </row>
    <row r="295" spans="2:19" ht="15.75" customHeight="1" x14ac:dyDescent="0.25">
      <c r="B295" s="14"/>
      <c r="C295" s="11"/>
      <c r="D295" s="14"/>
      <c r="E295" s="14"/>
      <c r="F295" s="14"/>
      <c r="R295" s="9"/>
      <c r="S295" s="9"/>
    </row>
    <row r="296" spans="2:19" ht="15.75" customHeight="1" x14ac:dyDescent="0.25">
      <c r="B296" s="14"/>
      <c r="C296" s="11"/>
      <c r="D296" s="14"/>
      <c r="E296" s="14"/>
      <c r="F296" s="14"/>
      <c r="R296" s="9"/>
      <c r="S296" s="9"/>
    </row>
    <row r="297" spans="2:19" ht="15.75" customHeight="1" x14ac:dyDescent="0.25">
      <c r="B297" s="14"/>
      <c r="C297" s="11"/>
      <c r="D297" s="14"/>
      <c r="E297" s="14"/>
      <c r="F297" s="14"/>
      <c r="R297" s="9"/>
      <c r="S297" s="9"/>
    </row>
    <row r="298" spans="2:19" ht="15.75" customHeight="1" x14ac:dyDescent="0.25">
      <c r="B298" s="14"/>
      <c r="C298" s="11"/>
      <c r="D298" s="14"/>
      <c r="E298" s="14"/>
      <c r="F298" s="14"/>
      <c r="R298" s="9"/>
      <c r="S298" s="9"/>
    </row>
    <row r="299" spans="2:19" ht="15.75" customHeight="1" x14ac:dyDescent="0.25">
      <c r="B299" s="14"/>
      <c r="C299" s="11"/>
      <c r="D299" s="14"/>
      <c r="E299" s="14"/>
      <c r="F299" s="14"/>
      <c r="R299" s="9"/>
      <c r="S299" s="9"/>
    </row>
    <row r="300" spans="2:19" ht="15.75" customHeight="1" x14ac:dyDescent="0.25">
      <c r="B300" s="14"/>
      <c r="C300" s="11"/>
      <c r="D300" s="14"/>
      <c r="E300" s="14"/>
      <c r="F300" s="14"/>
      <c r="R300" s="9"/>
      <c r="S300" s="9"/>
    </row>
    <row r="301" spans="2:19" ht="15.75" customHeight="1" x14ac:dyDescent="0.25">
      <c r="B301" s="14"/>
      <c r="C301" s="11"/>
      <c r="D301" s="14"/>
      <c r="E301" s="14"/>
      <c r="F301" s="14"/>
      <c r="R301" s="9"/>
      <c r="S301" s="9"/>
    </row>
    <row r="302" spans="2:19" ht="15.75" customHeight="1" x14ac:dyDescent="0.25">
      <c r="B302" s="14"/>
      <c r="C302" s="11"/>
      <c r="D302" s="14"/>
      <c r="E302" s="14"/>
      <c r="F302" s="14"/>
      <c r="R302" s="9"/>
      <c r="S302" s="9"/>
    </row>
    <row r="303" spans="2:19" ht="15.75" customHeight="1" x14ac:dyDescent="0.25">
      <c r="B303" s="14"/>
      <c r="C303" s="11"/>
      <c r="D303" s="14"/>
      <c r="E303" s="14"/>
      <c r="F303" s="14"/>
      <c r="R303" s="9"/>
      <c r="S303" s="9"/>
    </row>
    <row r="304" spans="2:19" ht="15.75" customHeight="1" x14ac:dyDescent="0.25">
      <c r="B304" s="14"/>
      <c r="C304" s="11"/>
      <c r="D304" s="14"/>
      <c r="E304" s="14"/>
      <c r="F304" s="14"/>
      <c r="R304" s="9"/>
      <c r="S304" s="9"/>
    </row>
    <row r="305" spans="2:19" ht="15.75" customHeight="1" x14ac:dyDescent="0.25">
      <c r="B305" s="14"/>
      <c r="C305" s="11"/>
      <c r="D305" s="14"/>
      <c r="E305" s="14"/>
      <c r="F305" s="14"/>
      <c r="R305" s="9"/>
      <c r="S305" s="9"/>
    </row>
    <row r="306" spans="2:19" ht="15.75" customHeight="1" x14ac:dyDescent="0.25">
      <c r="B306" s="14"/>
      <c r="C306" s="11"/>
      <c r="D306" s="14"/>
      <c r="E306" s="14"/>
      <c r="F306" s="14"/>
      <c r="R306" s="9"/>
      <c r="S306" s="9"/>
    </row>
    <row r="307" spans="2:19" ht="15.75" customHeight="1" x14ac:dyDescent="0.25">
      <c r="B307" s="14"/>
      <c r="C307" s="11"/>
      <c r="D307" s="14"/>
      <c r="E307" s="14"/>
      <c r="F307" s="14"/>
      <c r="R307" s="9"/>
      <c r="S307" s="9"/>
    </row>
    <row r="308" spans="2:19" ht="15.75" customHeight="1" x14ac:dyDescent="0.25">
      <c r="B308" s="14"/>
      <c r="C308" s="11"/>
      <c r="D308" s="14"/>
      <c r="E308" s="14"/>
      <c r="F308" s="14"/>
      <c r="R308" s="9"/>
      <c r="S308" s="9"/>
    </row>
    <row r="309" spans="2:19" ht="15.75" customHeight="1" x14ac:dyDescent="0.25">
      <c r="B309" s="14"/>
      <c r="C309" s="11"/>
      <c r="D309" s="14"/>
      <c r="E309" s="14"/>
      <c r="F309" s="14"/>
      <c r="R309" s="9"/>
      <c r="S309" s="9"/>
    </row>
    <row r="310" spans="2:19" ht="15.75" customHeight="1" x14ac:dyDescent="0.25">
      <c r="B310" s="14"/>
      <c r="C310" s="11"/>
      <c r="D310" s="14"/>
      <c r="E310" s="14"/>
      <c r="F310" s="14"/>
      <c r="R310" s="9"/>
      <c r="S310" s="9"/>
    </row>
    <row r="311" spans="2:19" ht="15.75" customHeight="1" x14ac:dyDescent="0.25">
      <c r="B311" s="14"/>
      <c r="C311" s="11"/>
      <c r="D311" s="14"/>
      <c r="E311" s="14"/>
      <c r="F311" s="14"/>
      <c r="R311" s="9"/>
      <c r="S311" s="9"/>
    </row>
    <row r="312" spans="2:19" ht="15.75" customHeight="1" x14ac:dyDescent="0.25">
      <c r="B312" s="14"/>
      <c r="C312" s="11"/>
      <c r="D312" s="14"/>
      <c r="E312" s="14"/>
      <c r="F312" s="14"/>
      <c r="R312" s="9"/>
      <c r="S312" s="9"/>
    </row>
    <row r="313" spans="2:19" ht="15.75" customHeight="1" x14ac:dyDescent="0.25">
      <c r="B313" s="14"/>
      <c r="C313" s="11"/>
      <c r="D313" s="14"/>
      <c r="E313" s="14"/>
      <c r="F313" s="14"/>
      <c r="R313" s="9"/>
      <c r="S313" s="9"/>
    </row>
    <row r="314" spans="2:19" ht="15.75" customHeight="1" x14ac:dyDescent="0.25">
      <c r="B314" s="14"/>
      <c r="C314" s="11"/>
      <c r="D314" s="14"/>
      <c r="E314" s="14"/>
      <c r="F314" s="14"/>
      <c r="R314" s="9"/>
      <c r="S314" s="9"/>
    </row>
    <row r="315" spans="2:19" ht="15.75" customHeight="1" x14ac:dyDescent="0.25">
      <c r="B315" s="14"/>
      <c r="C315" s="11"/>
      <c r="D315" s="14"/>
      <c r="E315" s="14"/>
      <c r="F315" s="14"/>
      <c r="R315" s="9"/>
      <c r="S315" s="9"/>
    </row>
    <row r="316" spans="2:19" ht="15.75" customHeight="1" x14ac:dyDescent="0.25">
      <c r="B316" s="14"/>
      <c r="C316" s="11"/>
      <c r="D316" s="14"/>
      <c r="E316" s="14"/>
      <c r="F316" s="14"/>
      <c r="R316" s="9"/>
      <c r="S316" s="9"/>
    </row>
    <row r="317" spans="2:19" ht="15.75" customHeight="1" x14ac:dyDescent="0.25">
      <c r="B317" s="14"/>
      <c r="C317" s="11"/>
      <c r="D317" s="14"/>
      <c r="E317" s="14"/>
      <c r="F317" s="14"/>
      <c r="R317" s="9"/>
      <c r="S317" s="9"/>
    </row>
    <row r="318" spans="2:19" ht="15.75" customHeight="1" x14ac:dyDescent="0.25">
      <c r="B318" s="14"/>
      <c r="C318" s="11"/>
      <c r="D318" s="14"/>
      <c r="E318" s="14"/>
      <c r="F318" s="14"/>
      <c r="R318" s="9"/>
      <c r="S318" s="9"/>
    </row>
    <row r="319" spans="2:19" ht="15.75" customHeight="1" x14ac:dyDescent="0.25">
      <c r="B319" s="14"/>
      <c r="C319" s="11"/>
      <c r="D319" s="14"/>
      <c r="E319" s="14"/>
      <c r="F319" s="14"/>
      <c r="R319" s="9"/>
      <c r="S319" s="9"/>
    </row>
    <row r="320" spans="2:19" ht="15.75" customHeight="1" x14ac:dyDescent="0.25">
      <c r="B320" s="14"/>
      <c r="C320" s="11"/>
      <c r="D320" s="14"/>
      <c r="E320" s="14"/>
      <c r="F320" s="14"/>
      <c r="R320" s="9"/>
      <c r="S320" s="9"/>
    </row>
    <row r="321" spans="2:19" ht="15.75" customHeight="1" x14ac:dyDescent="0.25">
      <c r="B321" s="14"/>
      <c r="C321" s="11"/>
      <c r="D321" s="14"/>
      <c r="E321" s="14"/>
      <c r="F321" s="14"/>
      <c r="R321" s="9"/>
      <c r="S321" s="9"/>
    </row>
    <row r="322" spans="2:19" ht="15.75" customHeight="1" x14ac:dyDescent="0.25">
      <c r="B322" s="14"/>
      <c r="C322" s="11"/>
      <c r="D322" s="14"/>
      <c r="E322" s="14"/>
      <c r="F322" s="14"/>
      <c r="R322" s="9"/>
      <c r="S322" s="9"/>
    </row>
    <row r="323" spans="2:19" ht="15.75" customHeight="1" x14ac:dyDescent="0.25">
      <c r="B323" s="14"/>
      <c r="C323" s="11"/>
      <c r="D323" s="14"/>
      <c r="E323" s="14"/>
      <c r="F323" s="14"/>
      <c r="R323" s="9"/>
      <c r="S323" s="9"/>
    </row>
    <row r="324" spans="2:19" ht="15.75" customHeight="1" x14ac:dyDescent="0.25">
      <c r="B324" s="14"/>
      <c r="C324" s="11"/>
      <c r="D324" s="14"/>
      <c r="E324" s="14"/>
      <c r="F324" s="14"/>
      <c r="R324" s="9"/>
      <c r="S324" s="9"/>
    </row>
    <row r="325" spans="2:19" ht="15.75" customHeight="1" x14ac:dyDescent="0.25">
      <c r="B325" s="14"/>
      <c r="C325" s="11"/>
      <c r="D325" s="14"/>
      <c r="E325" s="14"/>
      <c r="F325" s="14"/>
      <c r="R325" s="9"/>
      <c r="S325" s="9"/>
    </row>
    <row r="326" spans="2:19" ht="15.75" customHeight="1" x14ac:dyDescent="0.25">
      <c r="B326" s="14"/>
      <c r="C326" s="11"/>
      <c r="D326" s="14"/>
      <c r="E326" s="14"/>
      <c r="F326" s="14"/>
      <c r="R326" s="9"/>
      <c r="S326" s="9"/>
    </row>
    <row r="327" spans="2:19" ht="15.75" customHeight="1" x14ac:dyDescent="0.25">
      <c r="B327" s="14"/>
      <c r="C327" s="11"/>
      <c r="D327" s="14"/>
      <c r="E327" s="14"/>
      <c r="F327" s="14"/>
      <c r="R327" s="9"/>
      <c r="S327" s="9"/>
    </row>
    <row r="328" spans="2:19" ht="15.75" customHeight="1" x14ac:dyDescent="0.25">
      <c r="B328" s="14"/>
      <c r="C328" s="11"/>
      <c r="D328" s="14"/>
      <c r="E328" s="14"/>
      <c r="F328" s="14"/>
      <c r="R328" s="9"/>
      <c r="S328" s="9"/>
    </row>
    <row r="329" spans="2:19" ht="15.75" customHeight="1" x14ac:dyDescent="0.25">
      <c r="B329" s="14"/>
      <c r="C329" s="11"/>
      <c r="D329" s="14"/>
      <c r="E329" s="14"/>
      <c r="F329" s="14"/>
      <c r="R329" s="9"/>
      <c r="S329" s="9"/>
    </row>
    <row r="330" spans="2:19" ht="15.75" customHeight="1" x14ac:dyDescent="0.25">
      <c r="B330" s="14"/>
      <c r="C330" s="11"/>
      <c r="D330" s="14"/>
      <c r="E330" s="14"/>
      <c r="F330" s="14"/>
      <c r="R330" s="9"/>
      <c r="S330" s="9"/>
    </row>
    <row r="331" spans="2:19" ht="15.75" customHeight="1" x14ac:dyDescent="0.25">
      <c r="B331" s="14"/>
      <c r="C331" s="11"/>
      <c r="D331" s="14"/>
      <c r="E331" s="14"/>
      <c r="F331" s="14"/>
      <c r="R331" s="9"/>
      <c r="S331" s="9"/>
    </row>
    <row r="332" spans="2:19" ht="15.75" customHeight="1" x14ac:dyDescent="0.25">
      <c r="B332" s="14"/>
      <c r="C332" s="11"/>
      <c r="D332" s="14"/>
      <c r="E332" s="14"/>
      <c r="F332" s="14"/>
      <c r="R332" s="9"/>
      <c r="S332" s="9"/>
    </row>
    <row r="333" spans="2:19" ht="15.75" customHeight="1" x14ac:dyDescent="0.25">
      <c r="B333" s="14"/>
      <c r="C333" s="11"/>
      <c r="D333" s="14"/>
      <c r="E333" s="14"/>
      <c r="F333" s="14"/>
      <c r="R333" s="9"/>
      <c r="S333" s="9"/>
    </row>
    <row r="334" spans="2:19" ht="15.75" customHeight="1" x14ac:dyDescent="0.25">
      <c r="B334" s="14"/>
      <c r="C334" s="11"/>
      <c r="D334" s="14"/>
      <c r="E334" s="14"/>
      <c r="F334" s="14"/>
      <c r="R334" s="9"/>
      <c r="S334" s="9"/>
    </row>
    <row r="335" spans="2:19" ht="15.75" customHeight="1" x14ac:dyDescent="0.25">
      <c r="B335" s="14"/>
      <c r="C335" s="11"/>
      <c r="D335" s="14"/>
      <c r="E335" s="14"/>
      <c r="F335" s="14"/>
      <c r="R335" s="9"/>
      <c r="S335" s="9"/>
    </row>
    <row r="336" spans="2:19" ht="15.75" customHeight="1" x14ac:dyDescent="0.25">
      <c r="B336" s="14"/>
      <c r="C336" s="11"/>
      <c r="D336" s="14"/>
      <c r="E336" s="14"/>
      <c r="F336" s="14"/>
      <c r="R336" s="9"/>
      <c r="S336" s="9"/>
    </row>
    <row r="337" spans="2:19" ht="15.75" customHeight="1" x14ac:dyDescent="0.25">
      <c r="B337" s="14"/>
      <c r="C337" s="11"/>
      <c r="D337" s="14"/>
      <c r="E337" s="14"/>
      <c r="F337" s="14"/>
      <c r="R337" s="9"/>
      <c r="S337" s="9"/>
    </row>
    <row r="338" spans="2:19" ht="15.75" customHeight="1" x14ac:dyDescent="0.25">
      <c r="B338" s="14"/>
      <c r="C338" s="11"/>
      <c r="D338" s="14"/>
      <c r="E338" s="14"/>
      <c r="F338" s="14"/>
      <c r="R338" s="9"/>
      <c r="S338" s="9"/>
    </row>
    <row r="339" spans="2:19" ht="15.75" customHeight="1" x14ac:dyDescent="0.25">
      <c r="B339" s="14"/>
      <c r="C339" s="11"/>
      <c r="D339" s="14"/>
      <c r="E339" s="14"/>
      <c r="F339" s="14"/>
      <c r="R339" s="9"/>
      <c r="S339" s="9"/>
    </row>
    <row r="340" spans="2:19" ht="15.75" customHeight="1" x14ac:dyDescent="0.25">
      <c r="B340" s="14"/>
      <c r="C340" s="11"/>
      <c r="D340" s="14"/>
      <c r="E340" s="14"/>
      <c r="F340" s="14"/>
      <c r="R340" s="9"/>
      <c r="S340" s="9"/>
    </row>
    <row r="341" spans="2:19" ht="15.75" customHeight="1" x14ac:dyDescent="0.25">
      <c r="B341" s="14"/>
      <c r="C341" s="11"/>
      <c r="D341" s="14"/>
      <c r="E341" s="14"/>
      <c r="F341" s="14"/>
      <c r="R341" s="9"/>
      <c r="S341" s="9"/>
    </row>
    <row r="342" spans="2:19" ht="15.75" customHeight="1" x14ac:dyDescent="0.25">
      <c r="B342" s="14"/>
      <c r="C342" s="11"/>
      <c r="D342" s="14"/>
      <c r="E342" s="14"/>
      <c r="F342" s="14"/>
      <c r="R342" s="9"/>
      <c r="S342" s="9"/>
    </row>
    <row r="343" spans="2:19" ht="15.75" customHeight="1" x14ac:dyDescent="0.25">
      <c r="B343" s="14"/>
      <c r="C343" s="11"/>
      <c r="D343" s="14"/>
      <c r="E343" s="14"/>
      <c r="F343" s="14"/>
      <c r="R343" s="9"/>
      <c r="S343" s="9"/>
    </row>
    <row r="344" spans="2:19" ht="15.75" customHeight="1" x14ac:dyDescent="0.25">
      <c r="B344" s="14"/>
      <c r="C344" s="11"/>
      <c r="D344" s="14"/>
      <c r="E344" s="14"/>
      <c r="F344" s="14"/>
      <c r="R344" s="9"/>
      <c r="S344" s="9"/>
    </row>
    <row r="345" spans="2:19" ht="15.75" customHeight="1" x14ac:dyDescent="0.25">
      <c r="B345" s="14"/>
      <c r="C345" s="11"/>
      <c r="D345" s="14"/>
      <c r="E345" s="14"/>
      <c r="F345" s="14"/>
      <c r="R345" s="9"/>
      <c r="S345" s="9"/>
    </row>
    <row r="346" spans="2:19" ht="15.75" customHeight="1" x14ac:dyDescent="0.25">
      <c r="B346" s="14"/>
      <c r="C346" s="11"/>
      <c r="D346" s="14"/>
      <c r="E346" s="14"/>
      <c r="F346" s="14"/>
      <c r="R346" s="9"/>
      <c r="S346" s="9"/>
    </row>
    <row r="347" spans="2:19" ht="15.75" customHeight="1" x14ac:dyDescent="0.25">
      <c r="B347" s="14"/>
      <c r="C347" s="11"/>
      <c r="D347" s="14"/>
      <c r="E347" s="14"/>
      <c r="F347" s="14"/>
      <c r="R347" s="9"/>
      <c r="S347" s="9"/>
    </row>
    <row r="348" spans="2:19" ht="15.75" customHeight="1" x14ac:dyDescent="0.25">
      <c r="B348" s="14"/>
      <c r="C348" s="11"/>
      <c r="D348" s="14"/>
      <c r="E348" s="14"/>
      <c r="F348" s="14"/>
      <c r="R348" s="9"/>
      <c r="S348" s="9"/>
    </row>
    <row r="349" spans="2:19" ht="15.75" customHeight="1" x14ac:dyDescent="0.25">
      <c r="B349" s="14"/>
      <c r="C349" s="11"/>
      <c r="D349" s="14"/>
      <c r="E349" s="14"/>
      <c r="F349" s="14"/>
      <c r="R349" s="9"/>
      <c r="S349" s="9"/>
    </row>
    <row r="350" spans="2:19" ht="15.75" customHeight="1" x14ac:dyDescent="0.25">
      <c r="B350" s="14"/>
      <c r="C350" s="11"/>
      <c r="D350" s="14"/>
      <c r="E350" s="14"/>
      <c r="F350" s="14"/>
      <c r="R350" s="9"/>
      <c r="S350" s="9"/>
    </row>
    <row r="351" spans="2:19" ht="15.75" customHeight="1" x14ac:dyDescent="0.25">
      <c r="B351" s="14"/>
      <c r="C351" s="11"/>
      <c r="D351" s="14"/>
      <c r="E351" s="14"/>
      <c r="F351" s="14"/>
      <c r="R351" s="9"/>
      <c r="S351" s="9"/>
    </row>
    <row r="352" spans="2:19" ht="15.75" customHeight="1" x14ac:dyDescent="0.25">
      <c r="B352" s="14"/>
      <c r="C352" s="11"/>
      <c r="D352" s="14"/>
      <c r="E352" s="14"/>
      <c r="F352" s="14"/>
      <c r="R352" s="9"/>
      <c r="S352" s="9"/>
    </row>
    <row r="353" spans="2:19" ht="15.75" customHeight="1" x14ac:dyDescent="0.25">
      <c r="B353" s="14"/>
      <c r="C353" s="11"/>
      <c r="D353" s="14"/>
      <c r="E353" s="14"/>
      <c r="F353" s="14"/>
      <c r="R353" s="9"/>
      <c r="S353" s="9"/>
    </row>
    <row r="354" spans="2:19" ht="15.75" customHeight="1" x14ac:dyDescent="0.25">
      <c r="B354" s="14"/>
      <c r="C354" s="11"/>
      <c r="D354" s="14"/>
      <c r="E354" s="14"/>
      <c r="F354" s="14"/>
      <c r="R354" s="9"/>
      <c r="S354" s="9"/>
    </row>
    <row r="355" spans="2:19" ht="15.75" customHeight="1" x14ac:dyDescent="0.25">
      <c r="B355" s="14"/>
      <c r="C355" s="11"/>
      <c r="D355" s="14"/>
      <c r="E355" s="14"/>
      <c r="F355" s="14"/>
      <c r="R355" s="9"/>
      <c r="S355" s="9"/>
    </row>
    <row r="356" spans="2:19" ht="15.75" customHeight="1" x14ac:dyDescent="0.25">
      <c r="B356" s="14"/>
      <c r="C356" s="11"/>
      <c r="D356" s="14"/>
      <c r="E356" s="14"/>
      <c r="F356" s="14"/>
      <c r="R356" s="9"/>
      <c r="S356" s="9"/>
    </row>
    <row r="357" spans="2:19" ht="15.75" customHeight="1" x14ac:dyDescent="0.25">
      <c r="B357" s="14"/>
      <c r="C357" s="11"/>
      <c r="D357" s="14"/>
      <c r="E357" s="14"/>
      <c r="F357" s="14"/>
      <c r="R357" s="9"/>
      <c r="S357" s="9"/>
    </row>
    <row r="358" spans="2:19" ht="15.75" customHeight="1" x14ac:dyDescent="0.25">
      <c r="B358" s="14"/>
      <c r="C358" s="11"/>
      <c r="D358" s="14"/>
      <c r="E358" s="14"/>
      <c r="F358" s="14"/>
      <c r="R358" s="9"/>
      <c r="S358" s="9"/>
    </row>
    <row r="359" spans="2:19" ht="15.75" customHeight="1" x14ac:dyDescent="0.25">
      <c r="B359" s="14"/>
      <c r="C359" s="11"/>
      <c r="D359" s="14"/>
      <c r="E359" s="14"/>
      <c r="F359" s="14"/>
      <c r="R359" s="9"/>
      <c r="S359" s="9"/>
    </row>
    <row r="360" spans="2:19" ht="15.75" customHeight="1" x14ac:dyDescent="0.25">
      <c r="B360" s="14"/>
      <c r="C360" s="11"/>
      <c r="D360" s="14"/>
      <c r="E360" s="14"/>
      <c r="F360" s="14"/>
      <c r="R360" s="9"/>
      <c r="S360" s="9"/>
    </row>
    <row r="361" spans="2:19" ht="15.75" customHeight="1" x14ac:dyDescent="0.25">
      <c r="B361" s="14"/>
      <c r="C361" s="11"/>
      <c r="D361" s="14"/>
      <c r="E361" s="14"/>
      <c r="F361" s="14"/>
      <c r="R361" s="9"/>
      <c r="S361" s="9"/>
    </row>
    <row r="362" spans="2:19" ht="15.75" customHeight="1" x14ac:dyDescent="0.25">
      <c r="B362" s="14"/>
      <c r="C362" s="11"/>
      <c r="D362" s="14"/>
      <c r="E362" s="14"/>
      <c r="F362" s="14"/>
      <c r="R362" s="9"/>
      <c r="S362" s="9"/>
    </row>
    <row r="363" spans="2:19" ht="15.75" customHeight="1" x14ac:dyDescent="0.25">
      <c r="B363" s="14"/>
      <c r="C363" s="11"/>
      <c r="D363" s="14"/>
      <c r="E363" s="14"/>
      <c r="F363" s="14"/>
      <c r="R363" s="9"/>
      <c r="S363" s="9"/>
    </row>
    <row r="364" spans="2:19" ht="15.75" customHeight="1" x14ac:dyDescent="0.25">
      <c r="B364" s="14"/>
      <c r="C364" s="11"/>
      <c r="D364" s="14"/>
      <c r="E364" s="14"/>
      <c r="F364" s="14"/>
      <c r="R364" s="9"/>
      <c r="S364" s="9"/>
    </row>
    <row r="365" spans="2:19" ht="15.75" customHeight="1" x14ac:dyDescent="0.25">
      <c r="B365" s="14"/>
      <c r="C365" s="11"/>
      <c r="D365" s="14"/>
      <c r="E365" s="14"/>
      <c r="F365" s="14"/>
      <c r="R365" s="9"/>
      <c r="S365" s="9"/>
    </row>
    <row r="366" spans="2:19" ht="15.75" customHeight="1" x14ac:dyDescent="0.25">
      <c r="B366" s="14"/>
      <c r="C366" s="11"/>
      <c r="D366" s="14"/>
      <c r="E366" s="14"/>
      <c r="F366" s="14"/>
      <c r="R366" s="9"/>
      <c r="S366" s="9"/>
    </row>
    <row r="367" spans="2:19" ht="15.75" customHeight="1" x14ac:dyDescent="0.25">
      <c r="B367" s="14"/>
      <c r="C367" s="11"/>
      <c r="D367" s="14"/>
      <c r="E367" s="14"/>
      <c r="F367" s="14"/>
      <c r="R367" s="9"/>
      <c r="S367" s="9"/>
    </row>
    <row r="368" spans="2:19" ht="15.75" customHeight="1" x14ac:dyDescent="0.25">
      <c r="B368" s="14"/>
      <c r="C368" s="11"/>
      <c r="D368" s="14"/>
      <c r="E368" s="14"/>
      <c r="F368" s="14"/>
      <c r="R368" s="9"/>
      <c r="S368" s="9"/>
    </row>
    <row r="369" spans="2:19" ht="15.75" customHeight="1" x14ac:dyDescent="0.25">
      <c r="B369" s="14"/>
      <c r="C369" s="11"/>
      <c r="D369" s="14"/>
      <c r="E369" s="14"/>
      <c r="F369" s="14"/>
      <c r="R369" s="9"/>
      <c r="S369" s="9"/>
    </row>
    <row r="370" spans="2:19" ht="15.75" customHeight="1" x14ac:dyDescent="0.25">
      <c r="B370" s="14"/>
      <c r="C370" s="11"/>
      <c r="D370" s="14"/>
      <c r="E370" s="14"/>
      <c r="F370" s="14"/>
      <c r="R370" s="9"/>
      <c r="S370" s="9"/>
    </row>
    <row r="371" spans="2:19" ht="15.75" customHeight="1" x14ac:dyDescent="0.25">
      <c r="B371" s="14"/>
      <c r="C371" s="11"/>
      <c r="D371" s="14"/>
      <c r="E371" s="14"/>
      <c r="F371" s="14"/>
      <c r="R371" s="9"/>
      <c r="S371" s="9"/>
    </row>
    <row r="372" spans="2:19" ht="15.75" customHeight="1" x14ac:dyDescent="0.25">
      <c r="B372" s="14"/>
      <c r="C372" s="11"/>
      <c r="D372" s="14"/>
      <c r="E372" s="14"/>
      <c r="F372" s="14"/>
      <c r="R372" s="9"/>
      <c r="S372" s="9"/>
    </row>
    <row r="373" spans="2:19" ht="15.75" customHeight="1" x14ac:dyDescent="0.25">
      <c r="B373" s="14"/>
      <c r="C373" s="11"/>
      <c r="D373" s="14"/>
      <c r="E373" s="14"/>
      <c r="F373" s="14"/>
      <c r="R373" s="9"/>
      <c r="S373" s="9"/>
    </row>
    <row r="374" spans="2:19" ht="15.75" customHeight="1" x14ac:dyDescent="0.25">
      <c r="B374" s="14"/>
      <c r="C374" s="11"/>
      <c r="D374" s="14"/>
      <c r="E374" s="14"/>
      <c r="F374" s="14"/>
      <c r="R374" s="9"/>
      <c r="S374" s="9"/>
    </row>
    <row r="375" spans="2:19" ht="15.75" customHeight="1" x14ac:dyDescent="0.25">
      <c r="B375" s="14"/>
      <c r="C375" s="11"/>
      <c r="D375" s="14"/>
      <c r="E375" s="14"/>
      <c r="F375" s="14"/>
      <c r="R375" s="9"/>
      <c r="S375" s="9"/>
    </row>
    <row r="376" spans="2:19" ht="15.75" customHeight="1" x14ac:dyDescent="0.25">
      <c r="B376" s="14"/>
      <c r="C376" s="11"/>
      <c r="D376" s="14"/>
      <c r="E376" s="14"/>
      <c r="F376" s="14"/>
      <c r="R376" s="9"/>
      <c r="S376" s="9"/>
    </row>
    <row r="377" spans="2:19" ht="15.75" customHeight="1" x14ac:dyDescent="0.25">
      <c r="B377" s="14"/>
      <c r="C377" s="11"/>
      <c r="D377" s="14"/>
      <c r="E377" s="14"/>
      <c r="F377" s="14"/>
      <c r="R377" s="9"/>
      <c r="S377" s="9"/>
    </row>
    <row r="378" spans="2:19" ht="15.75" customHeight="1" x14ac:dyDescent="0.25">
      <c r="B378" s="14"/>
      <c r="C378" s="11"/>
      <c r="D378" s="14"/>
      <c r="E378" s="14"/>
      <c r="F378" s="14"/>
      <c r="R378" s="9"/>
      <c r="S378" s="9"/>
    </row>
    <row r="379" spans="2:19" ht="15.75" customHeight="1" x14ac:dyDescent="0.25">
      <c r="B379" s="14"/>
      <c r="C379" s="11"/>
      <c r="D379" s="14"/>
      <c r="E379" s="14"/>
      <c r="F379" s="14"/>
      <c r="R379" s="9"/>
      <c r="S379" s="9"/>
    </row>
    <row r="380" spans="2:19" ht="15.75" customHeight="1" x14ac:dyDescent="0.25">
      <c r="B380" s="14"/>
      <c r="C380" s="11"/>
      <c r="D380" s="14"/>
      <c r="E380" s="14"/>
      <c r="F380" s="14"/>
      <c r="R380" s="9"/>
      <c r="S380" s="9"/>
    </row>
    <row r="381" spans="2:19" ht="15.75" customHeight="1" x14ac:dyDescent="0.25">
      <c r="B381" s="14"/>
      <c r="C381" s="11"/>
      <c r="D381" s="14"/>
      <c r="E381" s="14"/>
      <c r="F381" s="14"/>
      <c r="R381" s="9"/>
      <c r="S381" s="9"/>
    </row>
    <row r="382" spans="2:19" ht="15.75" customHeight="1" x14ac:dyDescent="0.25">
      <c r="B382" s="14"/>
      <c r="C382" s="11"/>
      <c r="D382" s="14"/>
      <c r="E382" s="14"/>
      <c r="F382" s="14"/>
      <c r="R382" s="9"/>
      <c r="S382" s="9"/>
    </row>
    <row r="383" spans="2:19" ht="15.75" customHeight="1" x14ac:dyDescent="0.25">
      <c r="B383" s="14"/>
      <c r="C383" s="11"/>
      <c r="D383" s="14"/>
      <c r="E383" s="14"/>
      <c r="F383" s="14"/>
      <c r="R383" s="9"/>
      <c r="S383" s="9"/>
    </row>
    <row r="384" spans="2:19" ht="15.75" customHeight="1" x14ac:dyDescent="0.25">
      <c r="B384" s="14"/>
      <c r="C384" s="11"/>
      <c r="D384" s="14"/>
      <c r="E384" s="14"/>
      <c r="F384" s="14"/>
      <c r="R384" s="9"/>
      <c r="S384" s="9"/>
    </row>
    <row r="385" spans="2:19" ht="15.75" customHeight="1" x14ac:dyDescent="0.25">
      <c r="B385" s="14"/>
      <c r="C385" s="11"/>
      <c r="D385" s="14"/>
      <c r="E385" s="14"/>
      <c r="F385" s="14"/>
      <c r="R385" s="9"/>
      <c r="S385" s="9"/>
    </row>
    <row r="386" spans="2:19" ht="15.75" customHeight="1" x14ac:dyDescent="0.25">
      <c r="B386" s="14"/>
      <c r="C386" s="11"/>
      <c r="D386" s="14"/>
      <c r="E386" s="14"/>
      <c r="F386" s="14"/>
      <c r="R386" s="9"/>
      <c r="S386" s="9"/>
    </row>
    <row r="387" spans="2:19" ht="15.75" customHeight="1" x14ac:dyDescent="0.25">
      <c r="B387" s="14"/>
      <c r="C387" s="11"/>
      <c r="D387" s="14"/>
      <c r="E387" s="14"/>
      <c r="F387" s="14"/>
      <c r="R387" s="9"/>
      <c r="S387" s="9"/>
    </row>
    <row r="388" spans="2:19" ht="15.75" customHeight="1" x14ac:dyDescent="0.25">
      <c r="B388" s="14"/>
      <c r="C388" s="11"/>
      <c r="D388" s="14"/>
      <c r="E388" s="14"/>
      <c r="F388" s="14"/>
      <c r="R388" s="9"/>
      <c r="S388" s="9"/>
    </row>
    <row r="389" spans="2:19" ht="15.75" customHeight="1" x14ac:dyDescent="0.25">
      <c r="B389" s="14"/>
      <c r="C389" s="11"/>
      <c r="D389" s="14"/>
      <c r="E389" s="14"/>
      <c r="F389" s="14"/>
      <c r="R389" s="9"/>
      <c r="S389" s="9"/>
    </row>
    <row r="390" spans="2:19" ht="15.75" customHeight="1" x14ac:dyDescent="0.25">
      <c r="B390" s="14"/>
      <c r="C390" s="11"/>
      <c r="D390" s="14"/>
      <c r="E390" s="14"/>
      <c r="F390" s="14"/>
      <c r="R390" s="9"/>
      <c r="S390" s="9"/>
    </row>
    <row r="391" spans="2:19" ht="15.75" customHeight="1" x14ac:dyDescent="0.25">
      <c r="B391" s="14"/>
      <c r="C391" s="11"/>
      <c r="D391" s="14"/>
      <c r="E391" s="14"/>
      <c r="F391" s="14"/>
      <c r="R391" s="9"/>
      <c r="S391" s="9"/>
    </row>
    <row r="392" spans="2:19" ht="15.75" customHeight="1" x14ac:dyDescent="0.25">
      <c r="B392" s="14"/>
      <c r="C392" s="11"/>
      <c r="D392" s="14"/>
      <c r="E392" s="14"/>
      <c r="F392" s="14"/>
      <c r="R392" s="9"/>
      <c r="S392" s="9"/>
    </row>
    <row r="393" spans="2:19" ht="15.75" customHeight="1" x14ac:dyDescent="0.25">
      <c r="B393" s="14"/>
      <c r="C393" s="11"/>
      <c r="D393" s="14"/>
      <c r="E393" s="14"/>
      <c r="F393" s="14"/>
      <c r="R393" s="9"/>
      <c r="S393" s="9"/>
    </row>
    <row r="394" spans="2:19" ht="15.75" customHeight="1" x14ac:dyDescent="0.25">
      <c r="B394" s="14"/>
      <c r="C394" s="11"/>
      <c r="D394" s="14"/>
      <c r="E394" s="14"/>
      <c r="F394" s="14"/>
      <c r="R394" s="9"/>
      <c r="S394" s="9"/>
    </row>
    <row r="395" spans="2:19" ht="15.75" customHeight="1" x14ac:dyDescent="0.25">
      <c r="B395" s="14"/>
      <c r="C395" s="11"/>
      <c r="D395" s="14"/>
      <c r="E395" s="14"/>
      <c r="F395" s="14"/>
      <c r="R395" s="9"/>
      <c r="S395" s="9"/>
    </row>
    <row r="396" spans="2:19" ht="15.75" customHeight="1" x14ac:dyDescent="0.25">
      <c r="B396" s="14"/>
      <c r="C396" s="11"/>
      <c r="D396" s="14"/>
      <c r="E396" s="14"/>
      <c r="F396" s="14"/>
      <c r="R396" s="9"/>
      <c r="S396" s="9"/>
    </row>
    <row r="397" spans="2:19" ht="15.75" customHeight="1" x14ac:dyDescent="0.25">
      <c r="B397" s="14"/>
      <c r="C397" s="11"/>
      <c r="D397" s="14"/>
      <c r="E397" s="14"/>
      <c r="F397" s="14"/>
      <c r="R397" s="9"/>
      <c r="S397" s="9"/>
    </row>
    <row r="398" spans="2:19" ht="15.75" customHeight="1" x14ac:dyDescent="0.25">
      <c r="B398" s="14"/>
      <c r="C398" s="11"/>
      <c r="D398" s="14"/>
      <c r="E398" s="14"/>
      <c r="F398" s="14"/>
      <c r="R398" s="9"/>
      <c r="S398" s="9"/>
    </row>
    <row r="399" spans="2:19" ht="15.75" customHeight="1" x14ac:dyDescent="0.25">
      <c r="B399" s="14"/>
      <c r="C399" s="11"/>
      <c r="D399" s="14"/>
      <c r="E399" s="14"/>
      <c r="F399" s="14"/>
      <c r="R399" s="9"/>
      <c r="S399" s="9"/>
    </row>
    <row r="400" spans="2:19" ht="15.75" customHeight="1" x14ac:dyDescent="0.25">
      <c r="B400" s="14"/>
      <c r="C400" s="11"/>
      <c r="D400" s="14"/>
      <c r="E400" s="14"/>
      <c r="F400" s="14"/>
      <c r="R400" s="9"/>
      <c r="S400" s="9"/>
    </row>
    <row r="401" spans="2:19" ht="15.75" customHeight="1" x14ac:dyDescent="0.25">
      <c r="B401" s="14"/>
      <c r="C401" s="11"/>
      <c r="D401" s="14"/>
      <c r="E401" s="14"/>
      <c r="F401" s="14"/>
      <c r="R401" s="9"/>
      <c r="S401" s="9"/>
    </row>
    <row r="402" spans="2:19" ht="15.75" customHeight="1" x14ac:dyDescent="0.25">
      <c r="B402" s="14"/>
      <c r="C402" s="11"/>
      <c r="D402" s="14"/>
      <c r="E402" s="14"/>
      <c r="F402" s="14"/>
      <c r="R402" s="9"/>
      <c r="S402" s="9"/>
    </row>
    <row r="403" spans="2:19" ht="15.75" customHeight="1" x14ac:dyDescent="0.25">
      <c r="B403" s="14"/>
      <c r="C403" s="11"/>
      <c r="D403" s="14"/>
      <c r="E403" s="14"/>
      <c r="F403" s="14"/>
      <c r="R403" s="9"/>
      <c r="S403" s="9"/>
    </row>
    <row r="404" spans="2:19" ht="15.75" customHeight="1" x14ac:dyDescent="0.25">
      <c r="B404" s="14"/>
      <c r="C404" s="11"/>
      <c r="D404" s="14"/>
      <c r="E404" s="14"/>
      <c r="F404" s="14"/>
      <c r="R404" s="9"/>
      <c r="S404" s="9"/>
    </row>
    <row r="405" spans="2:19" ht="15.75" customHeight="1" x14ac:dyDescent="0.25">
      <c r="B405" s="14"/>
      <c r="C405" s="11"/>
      <c r="D405" s="14"/>
      <c r="E405" s="14"/>
      <c r="F405" s="14"/>
      <c r="R405" s="9"/>
      <c r="S405" s="9"/>
    </row>
    <row r="406" spans="2:19" ht="15.75" customHeight="1" x14ac:dyDescent="0.25">
      <c r="B406" s="14"/>
      <c r="C406" s="11"/>
      <c r="D406" s="14"/>
      <c r="E406" s="14"/>
      <c r="F406" s="14"/>
      <c r="R406" s="9"/>
      <c r="S406" s="9"/>
    </row>
    <row r="407" spans="2:19" ht="15.75" customHeight="1" x14ac:dyDescent="0.25">
      <c r="B407" s="14"/>
      <c r="C407" s="11"/>
      <c r="D407" s="14"/>
      <c r="E407" s="14"/>
      <c r="F407" s="14"/>
      <c r="R407" s="9"/>
      <c r="S407" s="9"/>
    </row>
    <row r="408" spans="2:19" ht="15.75" customHeight="1" x14ac:dyDescent="0.25">
      <c r="B408" s="14"/>
      <c r="C408" s="11"/>
      <c r="D408" s="14"/>
      <c r="E408" s="14"/>
      <c r="F408" s="14"/>
      <c r="R408" s="9"/>
      <c r="S408" s="9"/>
    </row>
    <row r="409" spans="2:19" ht="15.75" customHeight="1" x14ac:dyDescent="0.25">
      <c r="B409" s="14"/>
      <c r="C409" s="11"/>
      <c r="D409" s="14"/>
      <c r="E409" s="14"/>
      <c r="F409" s="14"/>
      <c r="R409" s="9"/>
      <c r="S409" s="9"/>
    </row>
    <row r="410" spans="2:19" ht="15.75" customHeight="1" x14ac:dyDescent="0.25">
      <c r="B410" s="14"/>
      <c r="C410" s="11"/>
      <c r="D410" s="14"/>
      <c r="E410" s="14"/>
      <c r="F410" s="14"/>
      <c r="R410" s="9"/>
      <c r="S410" s="9"/>
    </row>
    <row r="411" spans="2:19" ht="15.75" customHeight="1" x14ac:dyDescent="0.25">
      <c r="B411" s="14"/>
      <c r="C411" s="11"/>
      <c r="D411" s="14"/>
      <c r="E411" s="14"/>
      <c r="F411" s="14"/>
      <c r="R411" s="9"/>
      <c r="S411" s="9"/>
    </row>
    <row r="412" spans="2:19" ht="15.75" customHeight="1" x14ac:dyDescent="0.25">
      <c r="B412" s="14"/>
      <c r="C412" s="11"/>
      <c r="D412" s="14"/>
      <c r="E412" s="14"/>
      <c r="F412" s="14"/>
      <c r="R412" s="9"/>
      <c r="S412" s="9"/>
    </row>
    <row r="413" spans="2:19" ht="15.75" customHeight="1" x14ac:dyDescent="0.25">
      <c r="B413" s="14"/>
      <c r="C413" s="11"/>
      <c r="D413" s="14"/>
      <c r="E413" s="14"/>
      <c r="F413" s="14"/>
      <c r="R413" s="9"/>
      <c r="S413" s="9"/>
    </row>
    <row r="414" spans="2:19" ht="15.75" customHeight="1" x14ac:dyDescent="0.25">
      <c r="B414" s="14"/>
      <c r="C414" s="11"/>
      <c r="D414" s="14"/>
      <c r="E414" s="14"/>
      <c r="F414" s="14"/>
      <c r="R414" s="9"/>
      <c r="S414" s="9"/>
    </row>
    <row r="415" spans="2:19" ht="15.75" customHeight="1" x14ac:dyDescent="0.25">
      <c r="B415" s="14"/>
      <c r="C415" s="11"/>
      <c r="D415" s="14"/>
      <c r="E415" s="14"/>
      <c r="F415" s="14"/>
      <c r="R415" s="9"/>
      <c r="S415" s="9"/>
    </row>
    <row r="416" spans="2:19" ht="15.75" customHeight="1" x14ac:dyDescent="0.25">
      <c r="B416" s="14"/>
      <c r="C416" s="11"/>
      <c r="D416" s="14"/>
      <c r="E416" s="14"/>
      <c r="F416" s="14"/>
      <c r="R416" s="9"/>
      <c r="S416" s="9"/>
    </row>
    <row r="417" spans="2:19" ht="15.75" customHeight="1" x14ac:dyDescent="0.25">
      <c r="B417" s="14"/>
      <c r="C417" s="11"/>
      <c r="D417" s="14"/>
      <c r="E417" s="14"/>
      <c r="F417" s="14"/>
      <c r="R417" s="9"/>
      <c r="S417" s="9"/>
    </row>
    <row r="418" spans="2:19" ht="15.75" customHeight="1" x14ac:dyDescent="0.25">
      <c r="B418" s="14"/>
      <c r="C418" s="11"/>
      <c r="D418" s="14"/>
      <c r="E418" s="14"/>
      <c r="F418" s="14"/>
      <c r="R418" s="9"/>
      <c r="S418" s="9"/>
    </row>
    <row r="419" spans="2:19" ht="15.75" customHeight="1" x14ac:dyDescent="0.25">
      <c r="B419" s="14"/>
      <c r="C419" s="11"/>
      <c r="D419" s="14"/>
      <c r="E419" s="14"/>
      <c r="F419" s="14"/>
      <c r="R419" s="9"/>
      <c r="S419" s="9"/>
    </row>
    <row r="420" spans="2:19" ht="15.75" customHeight="1" x14ac:dyDescent="0.25">
      <c r="B420" s="14"/>
      <c r="C420" s="11"/>
      <c r="D420" s="14"/>
      <c r="E420" s="14"/>
      <c r="F420" s="14"/>
      <c r="R420" s="9"/>
      <c r="S420" s="9"/>
    </row>
    <row r="421" spans="2:19" ht="15.75" customHeight="1" x14ac:dyDescent="0.25">
      <c r="B421" s="14"/>
      <c r="C421" s="11"/>
      <c r="D421" s="14"/>
      <c r="E421" s="14"/>
      <c r="F421" s="14"/>
      <c r="R421" s="9"/>
      <c r="S421" s="9"/>
    </row>
    <row r="422" spans="2:19" ht="15.75" customHeight="1" x14ac:dyDescent="0.25">
      <c r="B422" s="14"/>
      <c r="C422" s="11"/>
      <c r="D422" s="14"/>
      <c r="E422" s="14"/>
      <c r="F422" s="14"/>
      <c r="R422" s="9"/>
      <c r="S422" s="9"/>
    </row>
    <row r="423" spans="2:19" ht="15.75" customHeight="1" x14ac:dyDescent="0.25">
      <c r="B423" s="14"/>
      <c r="C423" s="11"/>
      <c r="D423" s="14"/>
      <c r="E423" s="14"/>
      <c r="F423" s="14"/>
      <c r="R423" s="9"/>
      <c r="S423" s="9"/>
    </row>
    <row r="424" spans="2:19" ht="15.75" customHeight="1" x14ac:dyDescent="0.25">
      <c r="B424" s="14"/>
      <c r="C424" s="11"/>
      <c r="D424" s="14"/>
      <c r="E424" s="14"/>
      <c r="F424" s="14"/>
      <c r="R424" s="9"/>
      <c r="S424" s="9"/>
    </row>
    <row r="425" spans="2:19" ht="15.75" customHeight="1" x14ac:dyDescent="0.25">
      <c r="B425" s="14"/>
      <c r="C425" s="11"/>
      <c r="D425" s="14"/>
      <c r="E425" s="14"/>
      <c r="F425" s="14"/>
      <c r="R425" s="9"/>
      <c r="S425" s="9"/>
    </row>
    <row r="426" spans="2:19" ht="15.75" customHeight="1" x14ac:dyDescent="0.25">
      <c r="B426" s="14"/>
      <c r="C426" s="11"/>
      <c r="D426" s="14"/>
      <c r="E426" s="14"/>
      <c r="F426" s="14"/>
      <c r="R426" s="9"/>
      <c r="S426" s="9"/>
    </row>
    <row r="427" spans="2:19" ht="15.75" customHeight="1" x14ac:dyDescent="0.25">
      <c r="B427" s="14"/>
      <c r="C427" s="11"/>
      <c r="D427" s="14"/>
      <c r="E427" s="14"/>
      <c r="F427" s="14"/>
      <c r="R427" s="9"/>
      <c r="S427" s="9"/>
    </row>
    <row r="428" spans="2:19" ht="15.75" customHeight="1" x14ac:dyDescent="0.25">
      <c r="B428" s="14"/>
      <c r="C428" s="11"/>
      <c r="D428" s="14"/>
      <c r="E428" s="14"/>
      <c r="F428" s="14"/>
      <c r="R428" s="9"/>
      <c r="S428" s="9"/>
    </row>
    <row r="429" spans="2:19" ht="15.75" customHeight="1" x14ac:dyDescent="0.25">
      <c r="B429" s="14"/>
      <c r="C429" s="11"/>
      <c r="D429" s="14"/>
      <c r="E429" s="14"/>
      <c r="F429" s="14"/>
      <c r="R429" s="9"/>
      <c r="S429" s="9"/>
    </row>
    <row r="430" spans="2:19" ht="15.75" customHeight="1" x14ac:dyDescent="0.25">
      <c r="B430" s="14"/>
      <c r="C430" s="11"/>
      <c r="D430" s="14"/>
      <c r="E430" s="14"/>
      <c r="F430" s="14"/>
      <c r="R430" s="9"/>
      <c r="S430" s="9"/>
    </row>
    <row r="431" spans="2:19" ht="15.75" customHeight="1" x14ac:dyDescent="0.25">
      <c r="B431" s="14"/>
      <c r="C431" s="11"/>
      <c r="D431" s="14"/>
      <c r="E431" s="14"/>
      <c r="F431" s="14"/>
      <c r="R431" s="9"/>
      <c r="S431" s="9"/>
    </row>
    <row r="432" spans="2:19" ht="15.75" customHeight="1" x14ac:dyDescent="0.25">
      <c r="B432" s="14"/>
      <c r="C432" s="11"/>
      <c r="D432" s="14"/>
      <c r="E432" s="14"/>
      <c r="F432" s="14"/>
      <c r="R432" s="9"/>
      <c r="S432" s="9"/>
    </row>
    <row r="433" spans="2:19" ht="15.75" customHeight="1" x14ac:dyDescent="0.25">
      <c r="B433" s="14"/>
      <c r="C433" s="11"/>
      <c r="D433" s="14"/>
      <c r="E433" s="14"/>
      <c r="F433" s="14"/>
      <c r="R433" s="9"/>
      <c r="S433" s="9"/>
    </row>
    <row r="434" spans="2:19" ht="15.75" customHeight="1" x14ac:dyDescent="0.25">
      <c r="B434" s="14"/>
      <c r="C434" s="11"/>
      <c r="D434" s="14"/>
      <c r="E434" s="14"/>
      <c r="F434" s="14"/>
      <c r="R434" s="9"/>
      <c r="S434" s="9"/>
    </row>
    <row r="435" spans="2:19" ht="15.75" customHeight="1" x14ac:dyDescent="0.25">
      <c r="B435" s="14"/>
      <c r="C435" s="11"/>
      <c r="D435" s="14"/>
      <c r="E435" s="14"/>
      <c r="F435" s="14"/>
      <c r="R435" s="9"/>
      <c r="S435" s="9"/>
    </row>
    <row r="436" spans="2:19" ht="15.75" customHeight="1" x14ac:dyDescent="0.25">
      <c r="B436" s="14"/>
      <c r="C436" s="11"/>
      <c r="D436" s="14"/>
      <c r="E436" s="14"/>
      <c r="F436" s="14"/>
      <c r="R436" s="9"/>
      <c r="S436" s="9"/>
    </row>
    <row r="437" spans="2:19" ht="15.75" customHeight="1" x14ac:dyDescent="0.25">
      <c r="B437" s="14"/>
      <c r="C437" s="11"/>
      <c r="D437" s="14"/>
      <c r="E437" s="14"/>
      <c r="F437" s="14"/>
      <c r="R437" s="9"/>
      <c r="S437" s="9"/>
    </row>
    <row r="438" spans="2:19" ht="15.75" customHeight="1" x14ac:dyDescent="0.25">
      <c r="B438" s="14"/>
      <c r="C438" s="11"/>
      <c r="D438" s="14"/>
      <c r="E438" s="14"/>
      <c r="F438" s="14"/>
      <c r="R438" s="9"/>
      <c r="S438" s="9"/>
    </row>
    <row r="439" spans="2:19" ht="15.75" customHeight="1" x14ac:dyDescent="0.25">
      <c r="B439" s="14"/>
      <c r="C439" s="11"/>
      <c r="D439" s="14"/>
      <c r="E439" s="14"/>
      <c r="F439" s="14"/>
      <c r="R439" s="9"/>
      <c r="S439" s="9"/>
    </row>
    <row r="440" spans="2:19" ht="15.75" customHeight="1" x14ac:dyDescent="0.25">
      <c r="B440" s="14"/>
      <c r="C440" s="11"/>
      <c r="D440" s="14"/>
      <c r="E440" s="14"/>
      <c r="F440" s="14"/>
      <c r="R440" s="9"/>
      <c r="S440" s="9"/>
    </row>
    <row r="441" spans="2:19" ht="15.75" customHeight="1" x14ac:dyDescent="0.25">
      <c r="B441" s="14"/>
      <c r="C441" s="11"/>
      <c r="D441" s="14"/>
      <c r="E441" s="14"/>
      <c r="F441" s="14"/>
      <c r="R441" s="9"/>
      <c r="S441" s="9"/>
    </row>
    <row r="442" spans="2:19" ht="15.75" customHeight="1" x14ac:dyDescent="0.25">
      <c r="B442" s="14"/>
      <c r="C442" s="11"/>
      <c r="D442" s="14"/>
      <c r="E442" s="14"/>
      <c r="F442" s="14"/>
      <c r="R442" s="9"/>
      <c r="S442" s="9"/>
    </row>
    <row r="443" spans="2:19" ht="15.75" customHeight="1" x14ac:dyDescent="0.25">
      <c r="B443" s="14"/>
      <c r="C443" s="11"/>
      <c r="D443" s="14"/>
      <c r="E443" s="14"/>
      <c r="F443" s="14"/>
      <c r="R443" s="9"/>
      <c r="S443" s="9"/>
    </row>
    <row r="444" spans="2:19" ht="15.75" customHeight="1" x14ac:dyDescent="0.25">
      <c r="B444" s="14"/>
      <c r="C444" s="11"/>
      <c r="D444" s="14"/>
      <c r="E444" s="14"/>
      <c r="F444" s="14"/>
      <c r="R444" s="9"/>
      <c r="S444" s="9"/>
    </row>
    <row r="445" spans="2:19" ht="15.75" customHeight="1" x14ac:dyDescent="0.25">
      <c r="B445" s="14"/>
      <c r="C445" s="11"/>
      <c r="D445" s="14"/>
      <c r="E445" s="14"/>
      <c r="F445" s="14"/>
      <c r="R445" s="9"/>
      <c r="S445" s="9"/>
    </row>
    <row r="446" spans="2:19" ht="15.75" customHeight="1" x14ac:dyDescent="0.25">
      <c r="B446" s="14"/>
      <c r="C446" s="11"/>
      <c r="D446" s="14"/>
      <c r="E446" s="14"/>
      <c r="F446" s="14"/>
      <c r="R446" s="9"/>
      <c r="S446" s="9"/>
    </row>
    <row r="447" spans="2:19" ht="15.75" customHeight="1" x14ac:dyDescent="0.25">
      <c r="B447" s="14"/>
      <c r="C447" s="11"/>
      <c r="D447" s="14"/>
      <c r="E447" s="14"/>
      <c r="F447" s="14"/>
      <c r="R447" s="9"/>
      <c r="S447" s="9"/>
    </row>
    <row r="448" spans="2:19" ht="15.75" customHeight="1" x14ac:dyDescent="0.25">
      <c r="B448" s="14"/>
      <c r="C448" s="11"/>
      <c r="D448" s="14"/>
      <c r="E448" s="14"/>
      <c r="F448" s="14"/>
      <c r="R448" s="9"/>
      <c r="S448" s="9"/>
    </row>
    <row r="449" spans="2:19" ht="15.75" customHeight="1" x14ac:dyDescent="0.25">
      <c r="B449" s="14"/>
      <c r="C449" s="11"/>
      <c r="D449" s="14"/>
      <c r="E449" s="14"/>
      <c r="F449" s="14"/>
      <c r="R449" s="9"/>
      <c r="S449" s="9"/>
    </row>
    <row r="450" spans="2:19" ht="15.75" customHeight="1" x14ac:dyDescent="0.25">
      <c r="B450" s="14"/>
      <c r="C450" s="11"/>
      <c r="D450" s="14"/>
      <c r="E450" s="14"/>
      <c r="F450" s="14"/>
      <c r="R450" s="9"/>
      <c r="S450" s="9"/>
    </row>
    <row r="451" spans="2:19" ht="15.75" customHeight="1" x14ac:dyDescent="0.25">
      <c r="B451" s="14"/>
      <c r="C451" s="11"/>
      <c r="D451" s="14"/>
      <c r="E451" s="14"/>
      <c r="F451" s="14"/>
      <c r="R451" s="9"/>
      <c r="S451" s="9"/>
    </row>
    <row r="452" spans="2:19" ht="15.75" customHeight="1" x14ac:dyDescent="0.25">
      <c r="B452" s="14"/>
      <c r="C452" s="11"/>
      <c r="D452" s="14"/>
      <c r="E452" s="14"/>
      <c r="F452" s="14"/>
      <c r="R452" s="9"/>
      <c r="S452" s="9"/>
    </row>
    <row r="453" spans="2:19" ht="15.75" customHeight="1" x14ac:dyDescent="0.25">
      <c r="B453" s="14"/>
      <c r="C453" s="11"/>
      <c r="D453" s="14"/>
      <c r="E453" s="14"/>
      <c r="F453" s="14"/>
      <c r="R453" s="9"/>
      <c r="S453" s="9"/>
    </row>
    <row r="454" spans="2:19" ht="15.75" customHeight="1" x14ac:dyDescent="0.25">
      <c r="B454" s="14"/>
      <c r="C454" s="11"/>
      <c r="D454" s="14"/>
      <c r="E454" s="14"/>
      <c r="F454" s="14"/>
      <c r="R454" s="9"/>
      <c r="S454" s="9"/>
    </row>
    <row r="455" spans="2:19" ht="15.75" customHeight="1" x14ac:dyDescent="0.25">
      <c r="B455" s="14"/>
      <c r="C455" s="11"/>
      <c r="D455" s="14"/>
      <c r="E455" s="14"/>
      <c r="F455" s="14"/>
      <c r="R455" s="9"/>
      <c r="S455" s="9"/>
    </row>
    <row r="456" spans="2:19" ht="15.75" customHeight="1" x14ac:dyDescent="0.25">
      <c r="B456" s="14"/>
      <c r="C456" s="11"/>
      <c r="D456" s="14"/>
      <c r="E456" s="14"/>
      <c r="F456" s="14"/>
      <c r="R456" s="9"/>
      <c r="S456" s="9"/>
    </row>
    <row r="457" spans="2:19" ht="15.75" customHeight="1" x14ac:dyDescent="0.25">
      <c r="B457" s="14"/>
      <c r="C457" s="11"/>
      <c r="D457" s="14"/>
      <c r="E457" s="14"/>
      <c r="F457" s="14"/>
      <c r="R457" s="9"/>
      <c r="S457" s="9"/>
    </row>
    <row r="458" spans="2:19" ht="15.75" customHeight="1" x14ac:dyDescent="0.25">
      <c r="B458" s="14"/>
      <c r="C458" s="11"/>
      <c r="D458" s="14"/>
      <c r="E458" s="14"/>
      <c r="F458" s="14"/>
      <c r="R458" s="9"/>
      <c r="S458" s="9"/>
    </row>
    <row r="459" spans="2:19" ht="15.75" customHeight="1" x14ac:dyDescent="0.25">
      <c r="B459" s="14"/>
      <c r="C459" s="11"/>
      <c r="D459" s="14"/>
      <c r="E459" s="14"/>
      <c r="F459" s="14"/>
      <c r="R459" s="9"/>
      <c r="S459" s="9"/>
    </row>
    <row r="460" spans="2:19" ht="15.75" customHeight="1" x14ac:dyDescent="0.25">
      <c r="B460" s="14"/>
      <c r="C460" s="11"/>
      <c r="D460" s="14"/>
      <c r="E460" s="14"/>
      <c r="F460" s="14"/>
      <c r="R460" s="9"/>
      <c r="S460" s="9"/>
    </row>
    <row r="461" spans="2:19" ht="15.75" customHeight="1" x14ac:dyDescent="0.25">
      <c r="B461" s="14"/>
      <c r="C461" s="11"/>
      <c r="D461" s="14"/>
      <c r="E461" s="14"/>
      <c r="F461" s="14"/>
      <c r="R461" s="9"/>
      <c r="S461" s="9"/>
    </row>
    <row r="462" spans="2:19" ht="15.75" customHeight="1" x14ac:dyDescent="0.25">
      <c r="B462" s="14"/>
      <c r="C462" s="11"/>
      <c r="D462" s="14"/>
      <c r="E462" s="14"/>
      <c r="F462" s="14"/>
      <c r="R462" s="9"/>
      <c r="S462" s="9"/>
    </row>
    <row r="463" spans="2:19" ht="15.75" customHeight="1" x14ac:dyDescent="0.25">
      <c r="B463" s="14"/>
      <c r="C463" s="11"/>
      <c r="D463" s="14"/>
      <c r="E463" s="14"/>
      <c r="F463" s="14"/>
      <c r="R463" s="9"/>
      <c r="S463" s="9"/>
    </row>
    <row r="464" spans="2:19" ht="15.75" customHeight="1" x14ac:dyDescent="0.25">
      <c r="B464" s="14"/>
      <c r="C464" s="11"/>
      <c r="D464" s="14"/>
      <c r="E464" s="14"/>
      <c r="F464" s="14"/>
      <c r="R464" s="9"/>
      <c r="S464" s="9"/>
    </row>
    <row r="465" spans="2:19" ht="15.75" customHeight="1" x14ac:dyDescent="0.25">
      <c r="B465" s="14"/>
      <c r="C465" s="11"/>
      <c r="D465" s="14"/>
      <c r="E465" s="14"/>
      <c r="F465" s="14"/>
      <c r="R465" s="9"/>
      <c r="S465" s="9"/>
    </row>
    <row r="466" spans="2:19" ht="15.75" customHeight="1" x14ac:dyDescent="0.25">
      <c r="B466" s="14"/>
      <c r="C466" s="11"/>
      <c r="D466" s="14"/>
      <c r="E466" s="14"/>
      <c r="F466" s="14"/>
      <c r="R466" s="9"/>
      <c r="S466" s="9"/>
    </row>
    <row r="467" spans="2:19" ht="15.75" customHeight="1" x14ac:dyDescent="0.25">
      <c r="B467" s="14"/>
      <c r="C467" s="11"/>
      <c r="D467" s="14"/>
      <c r="E467" s="14"/>
      <c r="F467" s="14"/>
      <c r="R467" s="9"/>
      <c r="S467" s="9"/>
    </row>
    <row r="468" spans="2:19" ht="15.75" customHeight="1" x14ac:dyDescent="0.25">
      <c r="B468" s="14"/>
      <c r="C468" s="11"/>
      <c r="D468" s="14"/>
      <c r="E468" s="14"/>
      <c r="F468" s="14"/>
      <c r="R468" s="9"/>
      <c r="S468" s="9"/>
    </row>
    <row r="469" spans="2:19" ht="15.75" customHeight="1" x14ac:dyDescent="0.25">
      <c r="B469" s="14"/>
      <c r="C469" s="11"/>
      <c r="D469" s="14"/>
      <c r="E469" s="14"/>
      <c r="F469" s="14"/>
      <c r="R469" s="9"/>
      <c r="S469" s="9"/>
    </row>
    <row r="470" spans="2:19" ht="15.75" customHeight="1" x14ac:dyDescent="0.25">
      <c r="B470" s="14"/>
      <c r="C470" s="11"/>
      <c r="D470" s="14"/>
      <c r="E470" s="14"/>
      <c r="F470" s="14"/>
      <c r="R470" s="9"/>
      <c r="S470" s="9"/>
    </row>
    <row r="471" spans="2:19" ht="15.75" customHeight="1" x14ac:dyDescent="0.25">
      <c r="B471" s="14"/>
      <c r="C471" s="11"/>
      <c r="D471" s="14"/>
      <c r="E471" s="14"/>
      <c r="F471" s="14"/>
      <c r="R471" s="9"/>
      <c r="S471" s="9"/>
    </row>
    <row r="472" spans="2:19" ht="15.75" customHeight="1" x14ac:dyDescent="0.25">
      <c r="B472" s="14"/>
      <c r="C472" s="11"/>
      <c r="D472" s="14"/>
      <c r="E472" s="14"/>
      <c r="F472" s="14"/>
      <c r="R472" s="9"/>
      <c r="S472" s="9"/>
    </row>
    <row r="473" spans="2:19" ht="15.75" customHeight="1" x14ac:dyDescent="0.25">
      <c r="B473" s="14"/>
      <c r="C473" s="11"/>
      <c r="D473" s="14"/>
      <c r="E473" s="14"/>
      <c r="F473" s="14"/>
      <c r="R473" s="9"/>
      <c r="S473" s="9"/>
    </row>
    <row r="474" spans="2:19" ht="15.75" customHeight="1" x14ac:dyDescent="0.25">
      <c r="B474" s="14"/>
      <c r="C474" s="11"/>
      <c r="D474" s="14"/>
      <c r="E474" s="14"/>
      <c r="F474" s="14"/>
      <c r="R474" s="9"/>
      <c r="S474" s="9"/>
    </row>
    <row r="475" spans="2:19" ht="15.75" customHeight="1" x14ac:dyDescent="0.25">
      <c r="B475" s="14"/>
      <c r="C475" s="11"/>
      <c r="D475" s="14"/>
      <c r="E475" s="14"/>
      <c r="F475" s="14"/>
      <c r="R475" s="9"/>
      <c r="S475" s="9"/>
    </row>
    <row r="476" spans="2:19" ht="15.75" customHeight="1" x14ac:dyDescent="0.25">
      <c r="B476" s="14"/>
      <c r="C476" s="11"/>
      <c r="D476" s="14"/>
      <c r="E476" s="14"/>
      <c r="F476" s="14"/>
      <c r="R476" s="9"/>
      <c r="S476" s="9"/>
    </row>
    <row r="477" spans="2:19" ht="15.75" customHeight="1" x14ac:dyDescent="0.25">
      <c r="B477" s="14"/>
      <c r="C477" s="11"/>
      <c r="D477" s="14"/>
      <c r="E477" s="14"/>
      <c r="F477" s="14"/>
      <c r="R477" s="9"/>
      <c r="S477" s="9"/>
    </row>
    <row r="478" spans="2:19" ht="15.75" customHeight="1" x14ac:dyDescent="0.25">
      <c r="B478" s="14"/>
      <c r="C478" s="11"/>
      <c r="D478" s="14"/>
      <c r="E478" s="14"/>
      <c r="F478" s="14"/>
      <c r="R478" s="9"/>
      <c r="S478" s="9"/>
    </row>
    <row r="479" spans="2:19" ht="15.75" customHeight="1" x14ac:dyDescent="0.25">
      <c r="B479" s="14"/>
      <c r="C479" s="11"/>
      <c r="D479" s="14"/>
      <c r="E479" s="14"/>
      <c r="F479" s="14"/>
      <c r="R479" s="9"/>
      <c r="S479" s="9"/>
    </row>
    <row r="480" spans="2:19" ht="15.75" customHeight="1" x14ac:dyDescent="0.25">
      <c r="B480" s="14"/>
      <c r="C480" s="11"/>
      <c r="D480" s="14"/>
      <c r="E480" s="14"/>
      <c r="F480" s="14"/>
      <c r="R480" s="9"/>
      <c r="S480" s="9"/>
    </row>
    <row r="481" spans="2:19" ht="15.75" customHeight="1" x14ac:dyDescent="0.25">
      <c r="B481" s="14"/>
      <c r="C481" s="11"/>
      <c r="D481" s="14"/>
      <c r="E481" s="14"/>
      <c r="F481" s="14"/>
      <c r="R481" s="9"/>
      <c r="S481" s="9"/>
    </row>
    <row r="482" spans="2:19" ht="15.75" customHeight="1" x14ac:dyDescent="0.25">
      <c r="B482" s="14"/>
      <c r="C482" s="11"/>
      <c r="D482" s="14"/>
      <c r="E482" s="14"/>
      <c r="F482" s="14"/>
      <c r="R482" s="9"/>
      <c r="S482" s="9"/>
    </row>
    <row r="483" spans="2:19" ht="15.75" customHeight="1" x14ac:dyDescent="0.25">
      <c r="B483" s="14"/>
      <c r="C483" s="11"/>
      <c r="D483" s="14"/>
      <c r="E483" s="14"/>
      <c r="F483" s="14"/>
      <c r="R483" s="9"/>
      <c r="S483" s="9"/>
    </row>
    <row r="484" spans="2:19" ht="15.75" customHeight="1" x14ac:dyDescent="0.25">
      <c r="B484" s="14"/>
      <c r="C484" s="11"/>
      <c r="D484" s="14"/>
      <c r="E484" s="14"/>
      <c r="F484" s="14"/>
      <c r="R484" s="9"/>
      <c r="S484" s="9"/>
    </row>
    <row r="485" spans="2:19" ht="15.75" customHeight="1" x14ac:dyDescent="0.25">
      <c r="B485" s="14"/>
      <c r="C485" s="11"/>
      <c r="D485" s="14"/>
      <c r="E485" s="14"/>
      <c r="F485" s="14"/>
      <c r="R485" s="9"/>
      <c r="S485" s="9"/>
    </row>
    <row r="486" spans="2:19" ht="15.75" customHeight="1" x14ac:dyDescent="0.25">
      <c r="B486" s="14"/>
      <c r="C486" s="11"/>
      <c r="D486" s="14"/>
      <c r="E486" s="14"/>
      <c r="F486" s="14"/>
      <c r="R486" s="9"/>
      <c r="S486" s="9"/>
    </row>
    <row r="487" spans="2:19" ht="15.75" customHeight="1" x14ac:dyDescent="0.25">
      <c r="B487" s="14"/>
      <c r="C487" s="11"/>
      <c r="D487" s="14"/>
      <c r="E487" s="14"/>
      <c r="F487" s="14"/>
      <c r="R487" s="9"/>
      <c r="S487" s="9"/>
    </row>
    <row r="488" spans="2:19" ht="15.75" customHeight="1" x14ac:dyDescent="0.25">
      <c r="B488" s="14"/>
      <c r="C488" s="11"/>
      <c r="D488" s="14"/>
      <c r="E488" s="14"/>
      <c r="F488" s="14"/>
      <c r="R488" s="9"/>
      <c r="S488" s="9"/>
    </row>
    <row r="489" spans="2:19" ht="15.75" customHeight="1" x14ac:dyDescent="0.25">
      <c r="B489" s="14"/>
      <c r="C489" s="11"/>
      <c r="D489" s="14"/>
      <c r="E489" s="14"/>
      <c r="F489" s="14"/>
      <c r="R489" s="9"/>
      <c r="S489" s="9"/>
    </row>
    <row r="490" spans="2:19" ht="15.75" customHeight="1" x14ac:dyDescent="0.25">
      <c r="B490" s="14"/>
      <c r="C490" s="11"/>
      <c r="D490" s="14"/>
      <c r="E490" s="14"/>
      <c r="F490" s="14"/>
      <c r="R490" s="9"/>
      <c r="S490" s="9"/>
    </row>
    <row r="491" spans="2:19" ht="15.75" customHeight="1" x14ac:dyDescent="0.25">
      <c r="B491" s="14"/>
      <c r="C491" s="11"/>
      <c r="D491" s="14"/>
      <c r="E491" s="14"/>
      <c r="F491" s="14"/>
      <c r="R491" s="9"/>
      <c r="S491" s="9"/>
    </row>
    <row r="492" spans="2:19" ht="15.75" customHeight="1" x14ac:dyDescent="0.25">
      <c r="B492" s="14"/>
      <c r="C492" s="11"/>
      <c r="D492" s="14"/>
      <c r="E492" s="14"/>
      <c r="F492" s="14"/>
      <c r="R492" s="9"/>
      <c r="S492" s="9"/>
    </row>
    <row r="493" spans="2:19" ht="15.75" customHeight="1" x14ac:dyDescent="0.25">
      <c r="B493" s="14"/>
      <c r="C493" s="11"/>
      <c r="D493" s="14"/>
      <c r="E493" s="14"/>
      <c r="F493" s="14"/>
      <c r="R493" s="9"/>
      <c r="S493" s="9"/>
    </row>
    <row r="494" spans="2:19" ht="15.75" customHeight="1" x14ac:dyDescent="0.25">
      <c r="B494" s="14"/>
      <c r="C494" s="11"/>
      <c r="D494" s="14"/>
      <c r="E494" s="14"/>
      <c r="F494" s="14"/>
      <c r="R494" s="9"/>
      <c r="S494" s="9"/>
    </row>
    <row r="495" spans="2:19" ht="15.75" customHeight="1" x14ac:dyDescent="0.25">
      <c r="B495" s="14"/>
      <c r="C495" s="11"/>
      <c r="D495" s="14"/>
      <c r="E495" s="14"/>
      <c r="F495" s="14"/>
      <c r="R495" s="9"/>
      <c r="S495" s="9"/>
    </row>
    <row r="496" spans="2:19" ht="15.75" customHeight="1" x14ac:dyDescent="0.25">
      <c r="B496" s="14"/>
      <c r="C496" s="11"/>
      <c r="D496" s="14"/>
      <c r="E496" s="14"/>
      <c r="F496" s="14"/>
      <c r="R496" s="9"/>
      <c r="S496" s="9"/>
    </row>
    <row r="497" spans="2:19" ht="15.75" customHeight="1" x14ac:dyDescent="0.25">
      <c r="B497" s="14"/>
      <c r="C497" s="11"/>
      <c r="D497" s="14"/>
      <c r="E497" s="14"/>
      <c r="F497" s="14"/>
      <c r="R497" s="9"/>
      <c r="S497" s="9"/>
    </row>
    <row r="498" spans="2:19" ht="15.75" customHeight="1" x14ac:dyDescent="0.25">
      <c r="B498" s="14"/>
      <c r="C498" s="11"/>
      <c r="D498" s="14"/>
      <c r="E498" s="14"/>
      <c r="F498" s="14"/>
      <c r="R498" s="9"/>
      <c r="S498" s="9"/>
    </row>
    <row r="499" spans="2:19" ht="15.75" customHeight="1" x14ac:dyDescent="0.25">
      <c r="B499" s="14"/>
      <c r="C499" s="11"/>
      <c r="D499" s="14"/>
      <c r="E499" s="14"/>
      <c r="F499" s="14"/>
      <c r="R499" s="9"/>
      <c r="S499" s="9"/>
    </row>
    <row r="500" spans="2:19" ht="15.75" customHeight="1" x14ac:dyDescent="0.25">
      <c r="B500" s="14"/>
      <c r="C500" s="11"/>
      <c r="D500" s="14"/>
      <c r="E500" s="14"/>
      <c r="F500" s="14"/>
      <c r="R500" s="9"/>
      <c r="S500" s="9"/>
    </row>
    <row r="501" spans="2:19" ht="15.75" customHeight="1" x14ac:dyDescent="0.25">
      <c r="B501" s="14"/>
      <c r="C501" s="11"/>
      <c r="D501" s="14"/>
      <c r="E501" s="14"/>
      <c r="F501" s="14"/>
      <c r="R501" s="9"/>
      <c r="S501" s="9"/>
    </row>
    <row r="502" spans="2:19" ht="15.75" customHeight="1" x14ac:dyDescent="0.25">
      <c r="B502" s="14"/>
      <c r="C502" s="11"/>
      <c r="D502" s="14"/>
      <c r="E502" s="14"/>
      <c r="F502" s="14"/>
      <c r="R502" s="9"/>
      <c r="S502" s="9"/>
    </row>
    <row r="503" spans="2:19" ht="15.75" customHeight="1" x14ac:dyDescent="0.25">
      <c r="B503" s="14"/>
      <c r="C503" s="11"/>
      <c r="D503" s="14"/>
      <c r="E503" s="14"/>
      <c r="F503" s="14"/>
      <c r="R503" s="9"/>
      <c r="S503" s="9"/>
    </row>
    <row r="504" spans="2:19" ht="15.75" customHeight="1" x14ac:dyDescent="0.25">
      <c r="B504" s="14"/>
      <c r="C504" s="11"/>
      <c r="D504" s="14"/>
      <c r="E504" s="14"/>
      <c r="F504" s="14"/>
      <c r="R504" s="9"/>
      <c r="S504" s="9"/>
    </row>
    <row r="505" spans="2:19" ht="15.75" customHeight="1" x14ac:dyDescent="0.25">
      <c r="B505" s="14"/>
      <c r="C505" s="11"/>
      <c r="D505" s="14"/>
      <c r="E505" s="14"/>
      <c r="F505" s="14"/>
      <c r="R505" s="9"/>
      <c r="S505" s="9"/>
    </row>
    <row r="506" spans="2:19" ht="15.75" customHeight="1" x14ac:dyDescent="0.25">
      <c r="B506" s="14"/>
      <c r="C506" s="11"/>
      <c r="D506" s="14"/>
      <c r="E506" s="14"/>
      <c r="F506" s="14"/>
      <c r="R506" s="9"/>
      <c r="S506" s="9"/>
    </row>
    <row r="507" spans="2:19" ht="15.75" customHeight="1" x14ac:dyDescent="0.25">
      <c r="B507" s="14"/>
      <c r="C507" s="11"/>
      <c r="D507" s="14"/>
      <c r="E507" s="14"/>
      <c r="F507" s="14"/>
      <c r="R507" s="9"/>
      <c r="S507" s="9"/>
    </row>
    <row r="508" spans="2:19" ht="15.75" customHeight="1" x14ac:dyDescent="0.25">
      <c r="B508" s="14"/>
      <c r="C508" s="11"/>
      <c r="D508" s="14"/>
      <c r="E508" s="14"/>
      <c r="F508" s="14"/>
      <c r="R508" s="9"/>
      <c r="S508" s="9"/>
    </row>
    <row r="509" spans="2:19" ht="15.75" customHeight="1" x14ac:dyDescent="0.25">
      <c r="B509" s="14"/>
      <c r="C509" s="11"/>
      <c r="D509" s="14"/>
      <c r="E509" s="14"/>
      <c r="F509" s="14"/>
      <c r="R509" s="9"/>
      <c r="S509" s="9"/>
    </row>
    <row r="510" spans="2:19" ht="15.75" customHeight="1" x14ac:dyDescent="0.25">
      <c r="B510" s="14"/>
      <c r="C510" s="11"/>
      <c r="D510" s="14"/>
      <c r="E510" s="14"/>
      <c r="F510" s="14"/>
      <c r="R510" s="9"/>
      <c r="S510" s="9"/>
    </row>
    <row r="511" spans="2:19" ht="15.75" customHeight="1" x14ac:dyDescent="0.25">
      <c r="B511" s="14"/>
      <c r="C511" s="11"/>
      <c r="D511" s="14"/>
      <c r="E511" s="14"/>
      <c r="F511" s="14"/>
      <c r="R511" s="9"/>
      <c r="S511" s="9"/>
    </row>
    <row r="512" spans="2:19" ht="15.75" customHeight="1" x14ac:dyDescent="0.25">
      <c r="B512" s="14"/>
      <c r="C512" s="11"/>
      <c r="D512" s="14"/>
      <c r="E512" s="14"/>
      <c r="F512" s="14"/>
      <c r="R512" s="9"/>
      <c r="S512" s="9"/>
    </row>
    <row r="513" spans="2:19" ht="15.75" customHeight="1" x14ac:dyDescent="0.25">
      <c r="B513" s="14"/>
      <c r="C513" s="11"/>
      <c r="D513" s="14"/>
      <c r="E513" s="14"/>
      <c r="F513" s="14"/>
      <c r="R513" s="9"/>
      <c r="S513" s="9"/>
    </row>
    <row r="514" spans="2:19" ht="15.75" customHeight="1" x14ac:dyDescent="0.25">
      <c r="B514" s="14"/>
      <c r="C514" s="11"/>
      <c r="D514" s="14"/>
      <c r="E514" s="14"/>
      <c r="F514" s="14"/>
      <c r="R514" s="9"/>
      <c r="S514" s="9"/>
    </row>
    <row r="515" spans="2:19" ht="15.75" customHeight="1" x14ac:dyDescent="0.25">
      <c r="B515" s="14"/>
      <c r="C515" s="11"/>
      <c r="D515" s="14"/>
      <c r="E515" s="14"/>
      <c r="F515" s="14"/>
      <c r="R515" s="9"/>
      <c r="S515" s="9"/>
    </row>
    <row r="516" spans="2:19" ht="15.75" customHeight="1" x14ac:dyDescent="0.25">
      <c r="B516" s="14"/>
      <c r="C516" s="11"/>
      <c r="D516" s="14"/>
      <c r="E516" s="14"/>
      <c r="F516" s="14"/>
      <c r="R516" s="9"/>
      <c r="S516" s="9"/>
    </row>
    <row r="517" spans="2:19" ht="15.75" customHeight="1" x14ac:dyDescent="0.25">
      <c r="B517" s="14"/>
      <c r="C517" s="11"/>
      <c r="D517" s="14"/>
      <c r="E517" s="14"/>
      <c r="F517" s="14"/>
      <c r="R517" s="9"/>
      <c r="S517" s="9"/>
    </row>
    <row r="518" spans="2:19" ht="15.75" customHeight="1" x14ac:dyDescent="0.25">
      <c r="B518" s="14"/>
      <c r="C518" s="11"/>
      <c r="D518" s="14"/>
      <c r="E518" s="14"/>
      <c r="F518" s="14"/>
      <c r="R518" s="9"/>
      <c r="S518" s="9"/>
    </row>
    <row r="519" spans="2:19" ht="15.75" customHeight="1" x14ac:dyDescent="0.25">
      <c r="B519" s="14"/>
      <c r="C519" s="11"/>
      <c r="D519" s="14"/>
      <c r="E519" s="14"/>
      <c r="F519" s="14"/>
      <c r="R519" s="9"/>
      <c r="S519" s="9"/>
    </row>
    <row r="520" spans="2:19" ht="15.75" customHeight="1" x14ac:dyDescent="0.25">
      <c r="B520" s="14"/>
      <c r="C520" s="11"/>
      <c r="D520" s="14"/>
      <c r="E520" s="14"/>
      <c r="F520" s="14"/>
      <c r="R520" s="9"/>
      <c r="S520" s="9"/>
    </row>
    <row r="521" spans="2:19" ht="15.75" customHeight="1" x14ac:dyDescent="0.25">
      <c r="B521" s="14"/>
      <c r="C521" s="11"/>
      <c r="D521" s="14"/>
      <c r="E521" s="14"/>
      <c r="F521" s="14"/>
      <c r="R521" s="9"/>
      <c r="S521" s="9"/>
    </row>
    <row r="522" spans="2:19" ht="15.75" customHeight="1" x14ac:dyDescent="0.25">
      <c r="B522" s="14"/>
      <c r="C522" s="11"/>
      <c r="D522" s="14"/>
      <c r="E522" s="14"/>
      <c r="F522" s="14"/>
      <c r="R522" s="9"/>
      <c r="S522" s="9"/>
    </row>
    <row r="523" spans="2:19" ht="15.75" customHeight="1" x14ac:dyDescent="0.25">
      <c r="B523" s="14"/>
      <c r="C523" s="11"/>
      <c r="D523" s="14"/>
      <c r="E523" s="14"/>
      <c r="F523" s="14"/>
      <c r="R523" s="9"/>
      <c r="S523" s="9"/>
    </row>
    <row r="524" spans="2:19" ht="15.75" customHeight="1" x14ac:dyDescent="0.25">
      <c r="B524" s="14"/>
      <c r="C524" s="11"/>
      <c r="D524" s="14"/>
      <c r="E524" s="14"/>
      <c r="F524" s="14"/>
      <c r="R524" s="9"/>
      <c r="S524" s="9"/>
    </row>
    <row r="525" spans="2:19" ht="15.75" customHeight="1" x14ac:dyDescent="0.25">
      <c r="B525" s="14"/>
      <c r="C525" s="11"/>
      <c r="D525" s="14"/>
      <c r="E525" s="14"/>
      <c r="F525" s="14"/>
      <c r="R525" s="9"/>
      <c r="S525" s="9"/>
    </row>
    <row r="526" spans="2:19" ht="15.75" customHeight="1" x14ac:dyDescent="0.25">
      <c r="B526" s="14"/>
      <c r="C526" s="11"/>
      <c r="D526" s="14"/>
      <c r="E526" s="14"/>
      <c r="F526" s="14"/>
      <c r="R526" s="9"/>
      <c r="S526" s="9"/>
    </row>
    <row r="527" spans="2:19" ht="15.75" customHeight="1" x14ac:dyDescent="0.25">
      <c r="B527" s="14"/>
      <c r="C527" s="11"/>
      <c r="D527" s="14"/>
      <c r="E527" s="14"/>
      <c r="F527" s="14"/>
      <c r="R527" s="9"/>
      <c r="S527" s="9"/>
    </row>
    <row r="528" spans="2:19" ht="15.75" customHeight="1" x14ac:dyDescent="0.25">
      <c r="B528" s="14"/>
      <c r="C528" s="11"/>
      <c r="D528" s="14"/>
      <c r="E528" s="14"/>
      <c r="F528" s="14"/>
      <c r="R528" s="9"/>
      <c r="S528" s="9"/>
    </row>
    <row r="529" spans="2:19" ht="15.75" customHeight="1" x14ac:dyDescent="0.25">
      <c r="B529" s="14"/>
      <c r="C529" s="11"/>
      <c r="D529" s="14"/>
      <c r="E529" s="14"/>
      <c r="F529" s="14"/>
      <c r="R529" s="9"/>
      <c r="S529" s="9"/>
    </row>
    <row r="530" spans="2:19" ht="15.75" customHeight="1" x14ac:dyDescent="0.25">
      <c r="B530" s="14"/>
      <c r="C530" s="11"/>
      <c r="D530" s="14"/>
      <c r="E530" s="14"/>
      <c r="F530" s="14"/>
      <c r="R530" s="9"/>
      <c r="S530" s="9"/>
    </row>
    <row r="531" spans="2:19" ht="15.75" customHeight="1" x14ac:dyDescent="0.25">
      <c r="B531" s="14"/>
      <c r="C531" s="11"/>
      <c r="D531" s="14"/>
      <c r="E531" s="14"/>
      <c r="F531" s="14"/>
      <c r="R531" s="9"/>
      <c r="S531" s="9"/>
    </row>
    <row r="532" spans="2:19" ht="15.75" customHeight="1" x14ac:dyDescent="0.25">
      <c r="B532" s="14"/>
      <c r="C532" s="11"/>
      <c r="D532" s="14"/>
      <c r="E532" s="14"/>
      <c r="F532" s="14"/>
      <c r="R532" s="9"/>
      <c r="S532" s="9"/>
    </row>
    <row r="533" spans="2:19" ht="15.75" customHeight="1" x14ac:dyDescent="0.25">
      <c r="B533" s="14"/>
      <c r="C533" s="11"/>
      <c r="D533" s="14"/>
      <c r="E533" s="14"/>
      <c r="F533" s="14"/>
      <c r="R533" s="9"/>
      <c r="S533" s="9"/>
    </row>
    <row r="534" spans="2:19" ht="15.75" customHeight="1" x14ac:dyDescent="0.25">
      <c r="B534" s="14"/>
      <c r="C534" s="11"/>
      <c r="D534" s="14"/>
      <c r="E534" s="14"/>
      <c r="F534" s="14"/>
      <c r="R534" s="9"/>
      <c r="S534" s="9"/>
    </row>
    <row r="535" spans="2:19" ht="15.75" customHeight="1" x14ac:dyDescent="0.25">
      <c r="B535" s="14"/>
      <c r="C535" s="11"/>
      <c r="D535" s="14"/>
      <c r="E535" s="14"/>
      <c r="F535" s="14"/>
      <c r="R535" s="9"/>
      <c r="S535" s="9"/>
    </row>
    <row r="536" spans="2:19" ht="15.75" customHeight="1" x14ac:dyDescent="0.25">
      <c r="B536" s="14"/>
      <c r="C536" s="11"/>
      <c r="D536" s="14"/>
      <c r="E536" s="14"/>
      <c r="F536" s="14"/>
      <c r="R536" s="9"/>
      <c r="S536" s="9"/>
    </row>
    <row r="537" spans="2:19" ht="15.75" customHeight="1" x14ac:dyDescent="0.25">
      <c r="B537" s="14"/>
      <c r="C537" s="11"/>
      <c r="D537" s="14"/>
      <c r="E537" s="14"/>
      <c r="F537" s="14"/>
      <c r="R537" s="9"/>
      <c r="S537" s="9"/>
    </row>
    <row r="538" spans="2:19" ht="15.75" customHeight="1" x14ac:dyDescent="0.25">
      <c r="B538" s="14"/>
      <c r="C538" s="11"/>
      <c r="D538" s="14"/>
      <c r="E538" s="14"/>
      <c r="F538" s="14"/>
      <c r="R538" s="9"/>
      <c r="S538" s="9"/>
    </row>
    <row r="539" spans="2:19" ht="15.75" customHeight="1" x14ac:dyDescent="0.25">
      <c r="B539" s="14"/>
      <c r="C539" s="11"/>
      <c r="D539" s="14"/>
      <c r="E539" s="14"/>
      <c r="F539" s="14"/>
      <c r="R539" s="9"/>
      <c r="S539" s="9"/>
    </row>
    <row r="540" spans="2:19" ht="15.75" customHeight="1" x14ac:dyDescent="0.25">
      <c r="B540" s="14"/>
      <c r="C540" s="11"/>
      <c r="D540" s="14"/>
      <c r="E540" s="14"/>
      <c r="F540" s="14"/>
      <c r="R540" s="9"/>
      <c r="S540" s="9"/>
    </row>
    <row r="541" spans="2:19" ht="15.75" customHeight="1" x14ac:dyDescent="0.25">
      <c r="B541" s="14"/>
      <c r="C541" s="11"/>
      <c r="D541" s="14"/>
      <c r="E541" s="14"/>
      <c r="F541" s="14"/>
      <c r="R541" s="9"/>
      <c r="S541" s="9"/>
    </row>
    <row r="542" spans="2:19" ht="15.75" customHeight="1" x14ac:dyDescent="0.25">
      <c r="B542" s="14"/>
      <c r="C542" s="11"/>
      <c r="D542" s="14"/>
      <c r="E542" s="14"/>
      <c r="F542" s="14"/>
      <c r="R542" s="9"/>
      <c r="S542" s="9"/>
    </row>
    <row r="543" spans="2:19" ht="15.75" customHeight="1" x14ac:dyDescent="0.25">
      <c r="B543" s="14"/>
      <c r="C543" s="11"/>
      <c r="D543" s="14"/>
      <c r="E543" s="14"/>
      <c r="F543" s="14"/>
      <c r="R543" s="9"/>
      <c r="S543" s="9"/>
    </row>
    <row r="544" spans="2:19" ht="15.75" customHeight="1" x14ac:dyDescent="0.25">
      <c r="B544" s="14"/>
      <c r="C544" s="11"/>
      <c r="D544" s="14"/>
      <c r="E544" s="14"/>
      <c r="F544" s="14"/>
      <c r="R544" s="9"/>
      <c r="S544" s="9"/>
    </row>
    <row r="545" spans="2:19" ht="15.75" customHeight="1" x14ac:dyDescent="0.25">
      <c r="B545" s="14"/>
      <c r="C545" s="11"/>
      <c r="D545" s="14"/>
      <c r="E545" s="14"/>
      <c r="F545" s="14"/>
      <c r="R545" s="9"/>
      <c r="S545" s="9"/>
    </row>
    <row r="546" spans="2:19" ht="15.75" customHeight="1" x14ac:dyDescent="0.25">
      <c r="B546" s="14"/>
      <c r="C546" s="11"/>
      <c r="D546" s="14"/>
      <c r="E546" s="14"/>
      <c r="F546" s="14"/>
      <c r="R546" s="9"/>
      <c r="S546" s="9"/>
    </row>
    <row r="547" spans="2:19" ht="15.75" customHeight="1" x14ac:dyDescent="0.25">
      <c r="B547" s="14"/>
      <c r="C547" s="11"/>
      <c r="D547" s="14"/>
      <c r="E547" s="14"/>
      <c r="F547" s="14"/>
      <c r="R547" s="9"/>
      <c r="S547" s="9"/>
    </row>
    <row r="548" spans="2:19" ht="15.75" customHeight="1" x14ac:dyDescent="0.25">
      <c r="B548" s="14"/>
      <c r="C548" s="11"/>
      <c r="D548" s="14"/>
      <c r="E548" s="14"/>
      <c r="F548" s="14"/>
      <c r="R548" s="9"/>
      <c r="S548" s="9"/>
    </row>
    <row r="549" spans="2:19" ht="15.75" customHeight="1" x14ac:dyDescent="0.25">
      <c r="B549" s="14"/>
      <c r="C549" s="11"/>
      <c r="D549" s="14"/>
      <c r="E549" s="14"/>
      <c r="F549" s="14"/>
      <c r="R549" s="9"/>
      <c r="S549" s="9"/>
    </row>
    <row r="550" spans="2:19" ht="15.75" customHeight="1" x14ac:dyDescent="0.25">
      <c r="B550" s="14"/>
      <c r="C550" s="11"/>
      <c r="D550" s="14"/>
      <c r="E550" s="14"/>
      <c r="F550" s="14"/>
      <c r="R550" s="9"/>
      <c r="S550" s="9"/>
    </row>
    <row r="551" spans="2:19" ht="15.75" customHeight="1" x14ac:dyDescent="0.25">
      <c r="B551" s="14"/>
      <c r="C551" s="11"/>
      <c r="D551" s="14"/>
      <c r="E551" s="14"/>
      <c r="F551" s="14"/>
      <c r="R551" s="9"/>
      <c r="S551" s="9"/>
    </row>
    <row r="552" spans="2:19" ht="15.75" customHeight="1" x14ac:dyDescent="0.25">
      <c r="B552" s="14"/>
      <c r="C552" s="11"/>
      <c r="D552" s="14"/>
      <c r="E552" s="14"/>
      <c r="F552" s="14"/>
      <c r="R552" s="9"/>
      <c r="S552" s="9"/>
    </row>
    <row r="553" spans="2:19" ht="15.75" customHeight="1" x14ac:dyDescent="0.25">
      <c r="B553" s="14"/>
      <c r="C553" s="11"/>
      <c r="D553" s="14"/>
      <c r="E553" s="14"/>
      <c r="F553" s="14"/>
      <c r="R553" s="9"/>
      <c r="S553" s="9"/>
    </row>
    <row r="554" spans="2:19" ht="15.75" customHeight="1" x14ac:dyDescent="0.25">
      <c r="B554" s="14"/>
      <c r="C554" s="11"/>
      <c r="D554" s="14"/>
      <c r="E554" s="14"/>
      <c r="F554" s="14"/>
      <c r="R554" s="9"/>
      <c r="S554" s="9"/>
    </row>
    <row r="555" spans="2:19" ht="15.75" customHeight="1" x14ac:dyDescent="0.25">
      <c r="B555" s="14"/>
      <c r="C555" s="11"/>
      <c r="D555" s="14"/>
      <c r="E555" s="14"/>
      <c r="F555" s="14"/>
      <c r="R555" s="9"/>
      <c r="S555" s="9"/>
    </row>
    <row r="556" spans="2:19" ht="15.75" customHeight="1" x14ac:dyDescent="0.25">
      <c r="B556" s="14"/>
      <c r="C556" s="11"/>
      <c r="D556" s="14"/>
      <c r="E556" s="14"/>
      <c r="F556" s="14"/>
      <c r="R556" s="9"/>
      <c r="S556" s="9"/>
    </row>
    <row r="557" spans="2:19" ht="15.75" customHeight="1" x14ac:dyDescent="0.25">
      <c r="B557" s="14"/>
      <c r="C557" s="11"/>
      <c r="D557" s="14"/>
      <c r="E557" s="14"/>
      <c r="F557" s="14"/>
      <c r="R557" s="9"/>
      <c r="S557" s="9"/>
    </row>
    <row r="558" spans="2:19" ht="15.75" customHeight="1" x14ac:dyDescent="0.25">
      <c r="B558" s="14"/>
      <c r="C558" s="11"/>
      <c r="D558" s="14"/>
      <c r="E558" s="14"/>
      <c r="F558" s="14"/>
      <c r="R558" s="9"/>
      <c r="S558" s="9"/>
    </row>
    <row r="559" spans="2:19" ht="15.75" customHeight="1" x14ac:dyDescent="0.25">
      <c r="B559" s="14"/>
      <c r="C559" s="11"/>
      <c r="D559" s="14"/>
      <c r="E559" s="14"/>
      <c r="F559" s="14"/>
      <c r="R559" s="9"/>
      <c r="S559" s="9"/>
    </row>
    <row r="560" spans="2:19" ht="15.75" customHeight="1" x14ac:dyDescent="0.25">
      <c r="B560" s="14"/>
      <c r="C560" s="11"/>
      <c r="D560" s="14"/>
      <c r="E560" s="14"/>
      <c r="F560" s="14"/>
      <c r="R560" s="9"/>
      <c r="S560" s="9"/>
    </row>
    <row r="561" spans="2:19" ht="15.75" customHeight="1" x14ac:dyDescent="0.25">
      <c r="B561" s="14"/>
      <c r="C561" s="11"/>
      <c r="D561" s="14"/>
      <c r="E561" s="14"/>
      <c r="F561" s="14"/>
      <c r="R561" s="9"/>
      <c r="S561" s="9"/>
    </row>
    <row r="562" spans="2:19" ht="15.75" customHeight="1" x14ac:dyDescent="0.25">
      <c r="B562" s="14"/>
      <c r="C562" s="11"/>
      <c r="D562" s="14"/>
      <c r="E562" s="14"/>
      <c r="F562" s="14"/>
      <c r="R562" s="9"/>
      <c r="S562" s="9"/>
    </row>
    <row r="563" spans="2:19" ht="15.75" customHeight="1" x14ac:dyDescent="0.25">
      <c r="B563" s="14"/>
      <c r="C563" s="11"/>
      <c r="D563" s="14"/>
      <c r="E563" s="14"/>
      <c r="F563" s="14"/>
      <c r="R563" s="9"/>
      <c r="S563" s="9"/>
    </row>
    <row r="564" spans="2:19" ht="15.75" customHeight="1" x14ac:dyDescent="0.25">
      <c r="B564" s="14"/>
      <c r="C564" s="11"/>
      <c r="D564" s="14"/>
      <c r="E564" s="14"/>
      <c r="F564" s="14"/>
      <c r="R564" s="9"/>
      <c r="S564" s="9"/>
    </row>
    <row r="565" spans="2:19" ht="15.75" customHeight="1" x14ac:dyDescent="0.25">
      <c r="B565" s="14"/>
      <c r="C565" s="11"/>
      <c r="D565" s="14"/>
      <c r="E565" s="14"/>
      <c r="F565" s="14"/>
      <c r="R565" s="9"/>
      <c r="S565" s="9"/>
    </row>
    <row r="566" spans="2:19" ht="15.75" customHeight="1" x14ac:dyDescent="0.25">
      <c r="B566" s="14"/>
      <c r="C566" s="11"/>
      <c r="D566" s="14"/>
      <c r="E566" s="14"/>
      <c r="F566" s="14"/>
      <c r="R566" s="9"/>
      <c r="S566" s="9"/>
    </row>
    <row r="567" spans="2:19" ht="15.75" customHeight="1" x14ac:dyDescent="0.25">
      <c r="B567" s="14"/>
      <c r="C567" s="11"/>
      <c r="D567" s="14"/>
      <c r="E567" s="14"/>
      <c r="F567" s="14"/>
      <c r="R567" s="9"/>
      <c r="S567" s="9"/>
    </row>
    <row r="568" spans="2:19" ht="15.75" customHeight="1" x14ac:dyDescent="0.25">
      <c r="B568" s="14"/>
      <c r="C568" s="11"/>
      <c r="D568" s="14"/>
      <c r="E568" s="14"/>
      <c r="F568" s="14"/>
      <c r="R568" s="9"/>
      <c r="S568" s="9"/>
    </row>
    <row r="569" spans="2:19" ht="15.75" customHeight="1" x14ac:dyDescent="0.25">
      <c r="B569" s="14"/>
      <c r="C569" s="11"/>
      <c r="D569" s="14"/>
      <c r="E569" s="14"/>
      <c r="F569" s="14"/>
      <c r="R569" s="9"/>
      <c r="S569" s="9"/>
    </row>
    <row r="570" spans="2:19" ht="15.75" customHeight="1" x14ac:dyDescent="0.25">
      <c r="B570" s="14"/>
      <c r="C570" s="11"/>
      <c r="D570" s="14"/>
      <c r="E570" s="14"/>
      <c r="F570" s="14"/>
      <c r="R570" s="9"/>
      <c r="S570" s="9"/>
    </row>
    <row r="571" spans="2:19" ht="15.75" customHeight="1" x14ac:dyDescent="0.25">
      <c r="B571" s="14"/>
      <c r="C571" s="11"/>
      <c r="D571" s="14"/>
      <c r="E571" s="14"/>
      <c r="F571" s="14"/>
      <c r="R571" s="9"/>
      <c r="S571" s="9"/>
    </row>
    <row r="572" spans="2:19" ht="15.75" customHeight="1" x14ac:dyDescent="0.25">
      <c r="B572" s="14"/>
      <c r="C572" s="11"/>
      <c r="D572" s="14"/>
      <c r="E572" s="14"/>
      <c r="F572" s="14"/>
      <c r="R572" s="9"/>
      <c r="S572" s="9"/>
    </row>
    <row r="573" spans="2:19" ht="15.75" customHeight="1" x14ac:dyDescent="0.25">
      <c r="B573" s="14"/>
      <c r="C573" s="11"/>
      <c r="D573" s="14"/>
      <c r="E573" s="14"/>
      <c r="F573" s="14"/>
      <c r="R573" s="9"/>
      <c r="S573" s="9"/>
    </row>
    <row r="574" spans="2:19" ht="15.75" customHeight="1" x14ac:dyDescent="0.25">
      <c r="B574" s="14"/>
      <c r="C574" s="11"/>
      <c r="D574" s="14"/>
      <c r="E574" s="14"/>
      <c r="F574" s="14"/>
      <c r="R574" s="9"/>
      <c r="S574" s="9"/>
    </row>
    <row r="575" spans="2:19" ht="15.75" customHeight="1" x14ac:dyDescent="0.25">
      <c r="B575" s="14"/>
      <c r="C575" s="11"/>
      <c r="D575" s="14"/>
      <c r="E575" s="14"/>
      <c r="F575" s="14"/>
      <c r="R575" s="9"/>
      <c r="S575" s="9"/>
    </row>
    <row r="576" spans="2:19" ht="15.75" customHeight="1" x14ac:dyDescent="0.25">
      <c r="B576" s="14"/>
      <c r="C576" s="11"/>
      <c r="D576" s="14"/>
      <c r="E576" s="14"/>
      <c r="F576" s="14"/>
      <c r="R576" s="9"/>
      <c r="S576" s="9"/>
    </row>
    <row r="577" spans="2:19" ht="15.75" customHeight="1" x14ac:dyDescent="0.25">
      <c r="B577" s="14"/>
      <c r="C577" s="11"/>
      <c r="D577" s="14"/>
      <c r="E577" s="14"/>
      <c r="F577" s="14"/>
      <c r="R577" s="9"/>
      <c r="S577" s="9"/>
    </row>
    <row r="578" spans="2:19" ht="15.75" customHeight="1" x14ac:dyDescent="0.25">
      <c r="B578" s="14"/>
      <c r="C578" s="11"/>
      <c r="D578" s="14"/>
      <c r="E578" s="14"/>
      <c r="F578" s="14"/>
      <c r="R578" s="9"/>
      <c r="S578" s="9"/>
    </row>
    <row r="579" spans="2:19" ht="15.75" customHeight="1" x14ac:dyDescent="0.25">
      <c r="B579" s="14"/>
      <c r="C579" s="11"/>
      <c r="D579" s="14"/>
      <c r="E579" s="14"/>
      <c r="F579" s="14"/>
      <c r="R579" s="9"/>
      <c r="S579" s="9"/>
    </row>
    <row r="580" spans="2:19" ht="15.75" customHeight="1" x14ac:dyDescent="0.25">
      <c r="B580" s="14"/>
      <c r="C580" s="11"/>
      <c r="D580" s="14"/>
      <c r="E580" s="14"/>
      <c r="F580" s="14"/>
      <c r="R580" s="9"/>
      <c r="S580" s="9"/>
    </row>
    <row r="581" spans="2:19" ht="15.75" customHeight="1" x14ac:dyDescent="0.25">
      <c r="B581" s="14"/>
      <c r="C581" s="11"/>
      <c r="D581" s="14"/>
      <c r="E581" s="14"/>
      <c r="F581" s="14"/>
      <c r="R581" s="9"/>
      <c r="S581" s="9"/>
    </row>
    <row r="582" spans="2:19" ht="15.75" customHeight="1" x14ac:dyDescent="0.25">
      <c r="B582" s="14"/>
      <c r="C582" s="11"/>
      <c r="D582" s="14"/>
      <c r="E582" s="14"/>
      <c r="F582" s="14"/>
      <c r="R582" s="9"/>
      <c r="S582" s="9"/>
    </row>
    <row r="583" spans="2:19" ht="15.75" customHeight="1" x14ac:dyDescent="0.25">
      <c r="B583" s="14"/>
      <c r="C583" s="11"/>
      <c r="D583" s="14"/>
      <c r="E583" s="14"/>
      <c r="F583" s="14"/>
      <c r="R583" s="9"/>
      <c r="S583" s="9"/>
    </row>
    <row r="584" spans="2:19" ht="15.75" customHeight="1" x14ac:dyDescent="0.25">
      <c r="B584" s="14"/>
      <c r="C584" s="11"/>
      <c r="D584" s="14"/>
      <c r="E584" s="14"/>
      <c r="F584" s="14"/>
      <c r="R584" s="9"/>
      <c r="S584" s="9"/>
    </row>
    <row r="585" spans="2:19" ht="15.75" customHeight="1" x14ac:dyDescent="0.25">
      <c r="B585" s="14"/>
      <c r="C585" s="11"/>
      <c r="D585" s="14"/>
      <c r="E585" s="14"/>
      <c r="F585" s="14"/>
      <c r="R585" s="9"/>
      <c r="S585" s="9"/>
    </row>
    <row r="586" spans="2:19" ht="15.75" customHeight="1" x14ac:dyDescent="0.25">
      <c r="B586" s="14"/>
      <c r="C586" s="11"/>
      <c r="D586" s="14"/>
      <c r="E586" s="14"/>
      <c r="F586" s="14"/>
      <c r="R586" s="9"/>
      <c r="S586" s="9"/>
    </row>
    <row r="587" spans="2:19" ht="15.75" customHeight="1" x14ac:dyDescent="0.25">
      <c r="B587" s="14"/>
      <c r="C587" s="11"/>
      <c r="D587" s="14"/>
      <c r="E587" s="14"/>
      <c r="F587" s="14"/>
      <c r="R587" s="9"/>
      <c r="S587" s="9"/>
    </row>
    <row r="588" spans="2:19" ht="15.75" customHeight="1" x14ac:dyDescent="0.25">
      <c r="B588" s="14"/>
      <c r="C588" s="11"/>
      <c r="D588" s="14"/>
      <c r="E588" s="14"/>
      <c r="F588" s="14"/>
      <c r="R588" s="9"/>
      <c r="S588" s="9"/>
    </row>
    <row r="589" spans="2:19" ht="15.75" customHeight="1" x14ac:dyDescent="0.25">
      <c r="B589" s="14"/>
      <c r="C589" s="11"/>
      <c r="D589" s="14"/>
      <c r="E589" s="14"/>
      <c r="F589" s="14"/>
      <c r="R589" s="9"/>
      <c r="S589" s="9"/>
    </row>
    <row r="590" spans="2:19" ht="15.75" customHeight="1" x14ac:dyDescent="0.25">
      <c r="B590" s="14"/>
      <c r="C590" s="11"/>
      <c r="D590" s="14"/>
      <c r="E590" s="14"/>
      <c r="F590" s="14"/>
      <c r="R590" s="9"/>
      <c r="S590" s="9"/>
    </row>
    <row r="591" spans="2:19" ht="15.75" customHeight="1" x14ac:dyDescent="0.25">
      <c r="B591" s="14"/>
      <c r="C591" s="11"/>
      <c r="D591" s="14"/>
      <c r="E591" s="14"/>
      <c r="F591" s="14"/>
      <c r="R591" s="9"/>
      <c r="S591" s="9"/>
    </row>
    <row r="592" spans="2:19" ht="15.75" customHeight="1" x14ac:dyDescent="0.25">
      <c r="B592" s="14"/>
      <c r="C592" s="11"/>
      <c r="D592" s="14"/>
      <c r="E592" s="14"/>
      <c r="F592" s="14"/>
      <c r="R592" s="9"/>
      <c r="S592" s="9"/>
    </row>
    <row r="593" spans="2:19" ht="15.75" customHeight="1" x14ac:dyDescent="0.25">
      <c r="B593" s="14"/>
      <c r="C593" s="11"/>
      <c r="D593" s="14"/>
      <c r="E593" s="14"/>
      <c r="F593" s="14"/>
      <c r="R593" s="9"/>
      <c r="S593" s="9"/>
    </row>
    <row r="594" spans="2:19" ht="15.75" customHeight="1" x14ac:dyDescent="0.25">
      <c r="B594" s="14"/>
      <c r="C594" s="11"/>
      <c r="D594" s="14"/>
      <c r="E594" s="14"/>
      <c r="F594" s="14"/>
      <c r="R594" s="9"/>
      <c r="S594" s="9"/>
    </row>
    <row r="595" spans="2:19" ht="15.75" customHeight="1" x14ac:dyDescent="0.25">
      <c r="B595" s="14"/>
      <c r="C595" s="11"/>
      <c r="D595" s="14"/>
      <c r="E595" s="14"/>
      <c r="F595" s="14"/>
      <c r="R595" s="9"/>
      <c r="S595" s="9"/>
    </row>
    <row r="596" spans="2:19" ht="15.75" customHeight="1" x14ac:dyDescent="0.25">
      <c r="B596" s="14"/>
      <c r="C596" s="11"/>
      <c r="D596" s="14"/>
      <c r="E596" s="14"/>
      <c r="F596" s="14"/>
      <c r="R596" s="9"/>
      <c r="S596" s="9"/>
    </row>
    <row r="597" spans="2:19" ht="15.75" customHeight="1" x14ac:dyDescent="0.25">
      <c r="B597" s="14"/>
      <c r="C597" s="11"/>
      <c r="D597" s="14"/>
      <c r="E597" s="14"/>
      <c r="F597" s="14"/>
      <c r="R597" s="9"/>
      <c r="S597" s="9"/>
    </row>
    <row r="598" spans="2:19" ht="15.75" customHeight="1" x14ac:dyDescent="0.25">
      <c r="B598" s="14"/>
      <c r="C598" s="11"/>
      <c r="D598" s="14"/>
      <c r="E598" s="14"/>
      <c r="F598" s="14"/>
      <c r="R598" s="9"/>
      <c r="S598" s="9"/>
    </row>
    <row r="599" spans="2:19" ht="15.75" customHeight="1" x14ac:dyDescent="0.25">
      <c r="B599" s="14"/>
      <c r="C599" s="11"/>
      <c r="D599" s="14"/>
      <c r="E599" s="14"/>
      <c r="F599" s="14"/>
      <c r="R599" s="9"/>
      <c r="S599" s="9"/>
    </row>
    <row r="600" spans="2:19" ht="15.75" customHeight="1" x14ac:dyDescent="0.25">
      <c r="B600" s="14"/>
      <c r="C600" s="11"/>
      <c r="D600" s="14"/>
      <c r="E600" s="14"/>
      <c r="F600" s="14"/>
      <c r="R600" s="9"/>
      <c r="S600" s="9"/>
    </row>
    <row r="601" spans="2:19" ht="15.75" customHeight="1" x14ac:dyDescent="0.25">
      <c r="B601" s="14"/>
      <c r="C601" s="11"/>
      <c r="D601" s="14"/>
      <c r="E601" s="14"/>
      <c r="F601" s="14"/>
      <c r="R601" s="9"/>
      <c r="S601" s="9"/>
    </row>
    <row r="602" spans="2:19" ht="15.75" customHeight="1" x14ac:dyDescent="0.25">
      <c r="B602" s="14"/>
      <c r="C602" s="11"/>
      <c r="D602" s="14"/>
      <c r="E602" s="14"/>
      <c r="F602" s="14"/>
      <c r="R602" s="9"/>
      <c r="S602" s="9"/>
    </row>
    <row r="603" spans="2:19" ht="15.75" customHeight="1" x14ac:dyDescent="0.25">
      <c r="B603" s="14"/>
      <c r="C603" s="11"/>
      <c r="D603" s="14"/>
      <c r="E603" s="14"/>
      <c r="F603" s="14"/>
      <c r="R603" s="9"/>
      <c r="S603" s="9"/>
    </row>
    <row r="604" spans="2:19" ht="15.75" customHeight="1" x14ac:dyDescent="0.25">
      <c r="B604" s="14"/>
      <c r="C604" s="11"/>
      <c r="D604" s="14"/>
      <c r="E604" s="14"/>
      <c r="F604" s="14"/>
      <c r="R604" s="9"/>
      <c r="S604" s="9"/>
    </row>
    <row r="605" spans="2:19" ht="15.75" customHeight="1" x14ac:dyDescent="0.25">
      <c r="B605" s="14"/>
      <c r="C605" s="11"/>
      <c r="D605" s="14"/>
      <c r="E605" s="14"/>
      <c r="F605" s="14"/>
      <c r="R605" s="9"/>
      <c r="S605" s="9"/>
    </row>
    <row r="606" spans="2:19" ht="15.75" customHeight="1" x14ac:dyDescent="0.25">
      <c r="B606" s="14"/>
      <c r="C606" s="11"/>
      <c r="D606" s="14"/>
      <c r="E606" s="14"/>
      <c r="F606" s="14"/>
      <c r="R606" s="9"/>
      <c r="S606" s="9"/>
    </row>
    <row r="607" spans="2:19" ht="15.75" customHeight="1" x14ac:dyDescent="0.25">
      <c r="B607" s="14"/>
      <c r="C607" s="11"/>
      <c r="D607" s="14"/>
      <c r="E607" s="14"/>
      <c r="F607" s="14"/>
      <c r="R607" s="9"/>
      <c r="S607" s="9"/>
    </row>
    <row r="608" spans="2:19" ht="15.75" customHeight="1" x14ac:dyDescent="0.25">
      <c r="B608" s="14"/>
      <c r="C608" s="11"/>
      <c r="D608" s="14"/>
      <c r="E608" s="14"/>
      <c r="F608" s="14"/>
      <c r="R608" s="9"/>
      <c r="S608" s="9"/>
    </row>
    <row r="609" spans="2:19" ht="15.75" customHeight="1" x14ac:dyDescent="0.25">
      <c r="B609" s="14"/>
      <c r="C609" s="11"/>
      <c r="D609" s="14"/>
      <c r="E609" s="14"/>
      <c r="F609" s="14"/>
      <c r="R609" s="9"/>
      <c r="S609" s="9"/>
    </row>
    <row r="610" spans="2:19" ht="15.75" customHeight="1" x14ac:dyDescent="0.25">
      <c r="B610" s="14"/>
      <c r="C610" s="11"/>
      <c r="D610" s="14"/>
      <c r="E610" s="14"/>
      <c r="F610" s="14"/>
      <c r="R610" s="9"/>
      <c r="S610" s="9"/>
    </row>
    <row r="611" spans="2:19" ht="15.75" customHeight="1" x14ac:dyDescent="0.25">
      <c r="B611" s="14"/>
      <c r="C611" s="11"/>
      <c r="D611" s="14"/>
      <c r="E611" s="14"/>
      <c r="F611" s="14"/>
      <c r="R611" s="9"/>
      <c r="S611" s="9"/>
    </row>
    <row r="612" spans="2:19" ht="15.75" customHeight="1" x14ac:dyDescent="0.25">
      <c r="B612" s="14"/>
      <c r="C612" s="11"/>
      <c r="D612" s="14"/>
      <c r="E612" s="14"/>
      <c r="F612" s="14"/>
      <c r="R612" s="9"/>
      <c r="S612" s="9"/>
    </row>
    <row r="613" spans="2:19" ht="15.75" customHeight="1" x14ac:dyDescent="0.25">
      <c r="B613" s="14"/>
      <c r="C613" s="11"/>
      <c r="D613" s="14"/>
      <c r="E613" s="14"/>
      <c r="F613" s="14"/>
      <c r="R613" s="9"/>
      <c r="S613" s="9"/>
    </row>
    <row r="614" spans="2:19" ht="15.75" customHeight="1" x14ac:dyDescent="0.25">
      <c r="B614" s="14"/>
      <c r="C614" s="11"/>
      <c r="D614" s="14"/>
      <c r="E614" s="14"/>
      <c r="F614" s="14"/>
      <c r="R614" s="9"/>
      <c r="S614" s="9"/>
    </row>
    <row r="615" spans="2:19" ht="15.75" customHeight="1" x14ac:dyDescent="0.25">
      <c r="B615" s="14"/>
      <c r="C615" s="11"/>
      <c r="D615" s="14"/>
      <c r="E615" s="14"/>
      <c r="F615" s="14"/>
      <c r="R615" s="9"/>
      <c r="S615" s="9"/>
    </row>
    <row r="616" spans="2:19" ht="15.75" customHeight="1" x14ac:dyDescent="0.25">
      <c r="B616" s="14"/>
      <c r="C616" s="11"/>
      <c r="D616" s="14"/>
      <c r="E616" s="14"/>
      <c r="F616" s="14"/>
      <c r="R616" s="9"/>
      <c r="S616" s="9"/>
    </row>
    <row r="617" spans="2:19" ht="15.75" customHeight="1" x14ac:dyDescent="0.25">
      <c r="B617" s="14"/>
      <c r="C617" s="11"/>
      <c r="D617" s="14"/>
      <c r="E617" s="14"/>
      <c r="F617" s="14"/>
      <c r="R617" s="9"/>
      <c r="S617" s="9"/>
    </row>
    <row r="618" spans="2:19" ht="15.75" customHeight="1" x14ac:dyDescent="0.25">
      <c r="B618" s="14"/>
      <c r="C618" s="11"/>
      <c r="D618" s="14"/>
      <c r="E618" s="14"/>
      <c r="F618" s="14"/>
      <c r="R618" s="9"/>
      <c r="S618" s="9"/>
    </row>
    <row r="619" spans="2:19" ht="15.75" customHeight="1" x14ac:dyDescent="0.25">
      <c r="B619" s="14"/>
      <c r="C619" s="11"/>
      <c r="D619" s="14"/>
      <c r="E619" s="14"/>
      <c r="F619" s="14"/>
      <c r="R619" s="9"/>
      <c r="S619" s="9"/>
    </row>
    <row r="620" spans="2:19" ht="15.75" customHeight="1" x14ac:dyDescent="0.25">
      <c r="B620" s="14"/>
      <c r="C620" s="11"/>
      <c r="D620" s="14"/>
      <c r="E620" s="14"/>
      <c r="F620" s="14"/>
      <c r="R620" s="9"/>
      <c r="S620" s="9"/>
    </row>
    <row r="621" spans="2:19" ht="15.75" customHeight="1" x14ac:dyDescent="0.25">
      <c r="B621" s="14"/>
      <c r="C621" s="11"/>
      <c r="D621" s="14"/>
      <c r="E621" s="14"/>
      <c r="F621" s="14"/>
      <c r="R621" s="9"/>
      <c r="S621" s="9"/>
    </row>
    <row r="622" spans="2:19" ht="15.75" customHeight="1" x14ac:dyDescent="0.25">
      <c r="B622" s="14"/>
      <c r="C622" s="11"/>
      <c r="D622" s="14"/>
      <c r="E622" s="14"/>
      <c r="F622" s="14"/>
      <c r="R622" s="9"/>
      <c r="S622" s="9"/>
    </row>
    <row r="623" spans="2:19" ht="15.75" customHeight="1" x14ac:dyDescent="0.25">
      <c r="B623" s="14"/>
      <c r="C623" s="11"/>
      <c r="D623" s="14"/>
      <c r="E623" s="14"/>
      <c r="F623" s="14"/>
      <c r="R623" s="9"/>
      <c r="S623" s="9"/>
    </row>
    <row r="624" spans="2:19" ht="15.75" customHeight="1" x14ac:dyDescent="0.25">
      <c r="B624" s="14"/>
      <c r="C624" s="11"/>
      <c r="D624" s="14"/>
      <c r="E624" s="14"/>
      <c r="F624" s="14"/>
      <c r="R624" s="9"/>
      <c r="S624" s="9"/>
    </row>
    <row r="625" spans="2:19" ht="15.75" customHeight="1" x14ac:dyDescent="0.25">
      <c r="B625" s="14"/>
      <c r="C625" s="11"/>
      <c r="D625" s="14"/>
      <c r="E625" s="14"/>
      <c r="F625" s="14"/>
      <c r="R625" s="9"/>
      <c r="S625" s="9"/>
    </row>
    <row r="626" spans="2:19" ht="15.75" customHeight="1" x14ac:dyDescent="0.25">
      <c r="B626" s="14"/>
      <c r="C626" s="11"/>
      <c r="D626" s="14"/>
      <c r="E626" s="14"/>
      <c r="F626" s="14"/>
      <c r="R626" s="9"/>
      <c r="S626" s="9"/>
    </row>
    <row r="627" spans="2:19" ht="15.75" customHeight="1" x14ac:dyDescent="0.25">
      <c r="B627" s="14"/>
      <c r="C627" s="11"/>
      <c r="D627" s="14"/>
      <c r="E627" s="14"/>
      <c r="F627" s="14"/>
      <c r="R627" s="9"/>
      <c r="S627" s="9"/>
    </row>
    <row r="628" spans="2:19" ht="15.75" customHeight="1" x14ac:dyDescent="0.25">
      <c r="B628" s="14"/>
      <c r="C628" s="11"/>
      <c r="D628" s="14"/>
      <c r="E628" s="14"/>
      <c r="F628" s="14"/>
      <c r="R628" s="9"/>
      <c r="S628" s="9"/>
    </row>
    <row r="629" spans="2:19" ht="15.75" customHeight="1" x14ac:dyDescent="0.25">
      <c r="B629" s="14"/>
      <c r="C629" s="11"/>
      <c r="D629" s="14"/>
      <c r="E629" s="14"/>
      <c r="F629" s="14"/>
      <c r="R629" s="9"/>
      <c r="S629" s="9"/>
    </row>
    <row r="630" spans="2:19" ht="15.75" customHeight="1" x14ac:dyDescent="0.25">
      <c r="B630" s="14"/>
      <c r="C630" s="11"/>
      <c r="D630" s="14"/>
      <c r="E630" s="14"/>
      <c r="F630" s="14"/>
      <c r="R630" s="9"/>
      <c r="S630" s="9"/>
    </row>
    <row r="631" spans="2:19" ht="15.75" customHeight="1" x14ac:dyDescent="0.25">
      <c r="B631" s="14"/>
      <c r="C631" s="11"/>
      <c r="D631" s="14"/>
      <c r="E631" s="14"/>
      <c r="F631" s="14"/>
      <c r="R631" s="9"/>
      <c r="S631" s="9"/>
    </row>
    <row r="632" spans="2:19" ht="15.75" customHeight="1" x14ac:dyDescent="0.25">
      <c r="B632" s="14"/>
      <c r="C632" s="11"/>
      <c r="D632" s="14"/>
      <c r="E632" s="14"/>
      <c r="F632" s="14"/>
      <c r="R632" s="9"/>
      <c r="S632" s="9"/>
    </row>
    <row r="633" spans="2:19" ht="15.75" customHeight="1" x14ac:dyDescent="0.25">
      <c r="B633" s="14"/>
      <c r="C633" s="11"/>
      <c r="D633" s="14"/>
      <c r="E633" s="14"/>
      <c r="F633" s="14"/>
      <c r="R633" s="9"/>
      <c r="S633" s="9"/>
    </row>
    <row r="634" spans="2:19" ht="15.75" customHeight="1" x14ac:dyDescent="0.25">
      <c r="B634" s="14"/>
      <c r="C634" s="11"/>
      <c r="D634" s="14"/>
      <c r="E634" s="14"/>
      <c r="F634" s="14"/>
      <c r="R634" s="9"/>
      <c r="S634" s="9"/>
    </row>
    <row r="635" spans="2:19" ht="15.75" customHeight="1" x14ac:dyDescent="0.25">
      <c r="B635" s="14"/>
      <c r="C635" s="11"/>
      <c r="D635" s="14"/>
      <c r="E635" s="14"/>
      <c r="F635" s="14"/>
      <c r="R635" s="9"/>
      <c r="S635" s="9"/>
    </row>
    <row r="636" spans="2:19" ht="15.75" customHeight="1" x14ac:dyDescent="0.25">
      <c r="B636" s="14"/>
      <c r="C636" s="11"/>
      <c r="D636" s="14"/>
      <c r="E636" s="14"/>
      <c r="F636" s="14"/>
      <c r="R636" s="9"/>
      <c r="S636" s="9"/>
    </row>
    <row r="637" spans="2:19" ht="15.75" customHeight="1" x14ac:dyDescent="0.25">
      <c r="B637" s="14"/>
      <c r="C637" s="11"/>
      <c r="D637" s="14"/>
      <c r="E637" s="14"/>
      <c r="F637" s="14"/>
      <c r="R637" s="9"/>
      <c r="S637" s="9"/>
    </row>
    <row r="638" spans="2:19" ht="15.75" customHeight="1" x14ac:dyDescent="0.25">
      <c r="B638" s="14"/>
      <c r="C638" s="11"/>
      <c r="D638" s="14"/>
      <c r="E638" s="14"/>
      <c r="F638" s="14"/>
      <c r="R638" s="9"/>
      <c r="S638" s="9"/>
    </row>
    <row r="639" spans="2:19" ht="15.75" customHeight="1" x14ac:dyDescent="0.25">
      <c r="B639" s="14"/>
      <c r="C639" s="11"/>
      <c r="D639" s="14"/>
      <c r="E639" s="14"/>
      <c r="F639" s="14"/>
      <c r="R639" s="9"/>
      <c r="S639" s="9"/>
    </row>
    <row r="640" spans="2:19" ht="15.75" customHeight="1" x14ac:dyDescent="0.25">
      <c r="B640" s="14"/>
      <c r="C640" s="11"/>
      <c r="D640" s="14"/>
      <c r="E640" s="14"/>
      <c r="F640" s="14"/>
      <c r="R640" s="9"/>
      <c r="S640" s="9"/>
    </row>
    <row r="641" spans="2:19" ht="15.75" customHeight="1" x14ac:dyDescent="0.25">
      <c r="B641" s="14"/>
      <c r="C641" s="11"/>
      <c r="D641" s="14"/>
      <c r="E641" s="14"/>
      <c r="F641" s="14"/>
      <c r="R641" s="9"/>
      <c r="S641" s="9"/>
    </row>
    <row r="642" spans="2:19" ht="15.75" customHeight="1" x14ac:dyDescent="0.25">
      <c r="B642" s="14"/>
      <c r="C642" s="11"/>
      <c r="D642" s="14"/>
      <c r="E642" s="14"/>
      <c r="F642" s="14"/>
      <c r="R642" s="9"/>
      <c r="S642" s="9"/>
    </row>
    <row r="643" spans="2:19" ht="15.75" customHeight="1" x14ac:dyDescent="0.25">
      <c r="B643" s="14"/>
      <c r="C643" s="11"/>
      <c r="D643" s="14"/>
      <c r="E643" s="14"/>
      <c r="F643" s="14"/>
      <c r="R643" s="9"/>
      <c r="S643" s="9"/>
    </row>
    <row r="644" spans="2:19" ht="15.75" customHeight="1" x14ac:dyDescent="0.25">
      <c r="B644" s="14"/>
      <c r="C644" s="11"/>
      <c r="D644" s="14"/>
      <c r="E644" s="14"/>
      <c r="F644" s="14"/>
      <c r="R644" s="9"/>
      <c r="S644" s="9"/>
    </row>
    <row r="645" spans="2:19" ht="15.75" customHeight="1" x14ac:dyDescent="0.25">
      <c r="B645" s="14"/>
      <c r="C645" s="11"/>
      <c r="D645" s="14"/>
      <c r="E645" s="14"/>
      <c r="F645" s="14"/>
      <c r="R645" s="9"/>
      <c r="S645" s="9"/>
    </row>
    <row r="646" spans="2:19" ht="15.75" customHeight="1" x14ac:dyDescent="0.25">
      <c r="B646" s="14"/>
      <c r="C646" s="11"/>
      <c r="D646" s="14"/>
      <c r="E646" s="14"/>
      <c r="F646" s="14"/>
      <c r="R646" s="9"/>
      <c r="S646" s="9"/>
    </row>
    <row r="647" spans="2:19" ht="15.75" customHeight="1" x14ac:dyDescent="0.25">
      <c r="B647" s="14"/>
      <c r="C647" s="11"/>
      <c r="D647" s="14"/>
      <c r="E647" s="14"/>
      <c r="F647" s="14"/>
      <c r="R647" s="9"/>
      <c r="S647" s="9"/>
    </row>
    <row r="648" spans="2:19" ht="15.75" customHeight="1" x14ac:dyDescent="0.25">
      <c r="B648" s="14"/>
      <c r="C648" s="11"/>
      <c r="D648" s="14"/>
      <c r="E648" s="14"/>
      <c r="F648" s="14"/>
      <c r="R648" s="9"/>
      <c r="S648" s="9"/>
    </row>
    <row r="649" spans="2:19" ht="15.75" customHeight="1" x14ac:dyDescent="0.25">
      <c r="B649" s="14"/>
      <c r="C649" s="11"/>
      <c r="D649" s="14"/>
      <c r="E649" s="14"/>
      <c r="F649" s="14"/>
      <c r="R649" s="9"/>
      <c r="S649" s="9"/>
    </row>
    <row r="650" spans="2:19" ht="15.75" customHeight="1" x14ac:dyDescent="0.25">
      <c r="B650" s="14"/>
      <c r="C650" s="11"/>
      <c r="D650" s="14"/>
      <c r="E650" s="14"/>
      <c r="F650" s="14"/>
      <c r="R650" s="9"/>
      <c r="S650" s="9"/>
    </row>
    <row r="651" spans="2:19" ht="15.75" customHeight="1" x14ac:dyDescent="0.25">
      <c r="B651" s="14"/>
      <c r="C651" s="11"/>
      <c r="D651" s="14"/>
      <c r="E651" s="14"/>
      <c r="F651" s="14"/>
      <c r="R651" s="9"/>
      <c r="S651" s="9"/>
    </row>
    <row r="652" spans="2:19" ht="15.75" customHeight="1" x14ac:dyDescent="0.25">
      <c r="B652" s="14"/>
      <c r="C652" s="11"/>
      <c r="D652" s="14"/>
      <c r="E652" s="14"/>
      <c r="F652" s="14"/>
      <c r="R652" s="9"/>
      <c r="S652" s="9"/>
    </row>
    <row r="653" spans="2:19" ht="15.75" customHeight="1" x14ac:dyDescent="0.25">
      <c r="B653" s="14"/>
      <c r="C653" s="11"/>
      <c r="D653" s="14"/>
      <c r="E653" s="14"/>
      <c r="F653" s="14"/>
      <c r="R653" s="9"/>
      <c r="S653" s="9"/>
    </row>
    <row r="654" spans="2:19" ht="15.75" customHeight="1" x14ac:dyDescent="0.25">
      <c r="B654" s="14"/>
      <c r="C654" s="11"/>
      <c r="D654" s="14"/>
      <c r="E654" s="14"/>
      <c r="F654" s="14"/>
      <c r="R654" s="9"/>
      <c r="S654" s="9"/>
    </row>
    <row r="655" spans="2:19" ht="15.75" customHeight="1" x14ac:dyDescent="0.25">
      <c r="B655" s="14"/>
      <c r="C655" s="11"/>
      <c r="D655" s="14"/>
      <c r="E655" s="14"/>
      <c r="F655" s="14"/>
      <c r="R655" s="9"/>
      <c r="S655" s="9"/>
    </row>
    <row r="656" spans="2:19" ht="15.75" customHeight="1" x14ac:dyDescent="0.25">
      <c r="B656" s="14"/>
      <c r="C656" s="11"/>
      <c r="D656" s="14"/>
      <c r="E656" s="14"/>
      <c r="F656" s="14"/>
      <c r="R656" s="9"/>
      <c r="S656" s="9"/>
    </row>
    <row r="657" spans="2:19" ht="15.75" customHeight="1" x14ac:dyDescent="0.25">
      <c r="B657" s="14"/>
      <c r="C657" s="11"/>
      <c r="D657" s="14"/>
      <c r="E657" s="14"/>
      <c r="F657" s="14"/>
      <c r="R657" s="9"/>
      <c r="S657" s="9"/>
    </row>
    <row r="658" spans="2:19" ht="15.75" customHeight="1" x14ac:dyDescent="0.25">
      <c r="B658" s="14"/>
      <c r="C658" s="11"/>
      <c r="D658" s="14"/>
      <c r="E658" s="14"/>
      <c r="F658" s="14"/>
      <c r="R658" s="9"/>
      <c r="S658" s="9"/>
    </row>
    <row r="659" spans="2:19" ht="15.75" customHeight="1" x14ac:dyDescent="0.25">
      <c r="B659" s="14"/>
      <c r="C659" s="11"/>
      <c r="D659" s="14"/>
      <c r="E659" s="14"/>
      <c r="F659" s="14"/>
      <c r="R659" s="9"/>
      <c r="S659" s="9"/>
    </row>
    <row r="660" spans="2:19" ht="15.75" customHeight="1" x14ac:dyDescent="0.25">
      <c r="B660" s="14"/>
      <c r="C660" s="11"/>
      <c r="D660" s="14"/>
      <c r="E660" s="14"/>
      <c r="F660" s="14"/>
      <c r="R660" s="9"/>
      <c r="S660" s="9"/>
    </row>
    <row r="661" spans="2:19" ht="15.75" customHeight="1" x14ac:dyDescent="0.25">
      <c r="B661" s="14"/>
      <c r="C661" s="11"/>
      <c r="D661" s="14"/>
      <c r="E661" s="14"/>
      <c r="F661" s="14"/>
      <c r="R661" s="9"/>
      <c r="S661" s="9"/>
    </row>
    <row r="662" spans="2:19" ht="15.75" customHeight="1" x14ac:dyDescent="0.25">
      <c r="B662" s="14"/>
      <c r="C662" s="11"/>
      <c r="D662" s="14"/>
      <c r="E662" s="14"/>
      <c r="F662" s="14"/>
      <c r="R662" s="9"/>
      <c r="S662" s="9"/>
    </row>
    <row r="663" spans="2:19" ht="15.75" customHeight="1" x14ac:dyDescent="0.25">
      <c r="B663" s="14"/>
      <c r="C663" s="11"/>
      <c r="D663" s="14"/>
      <c r="E663" s="14"/>
      <c r="F663" s="14"/>
      <c r="R663" s="9"/>
      <c r="S663" s="9"/>
    </row>
    <row r="664" spans="2:19" ht="15.75" customHeight="1" x14ac:dyDescent="0.25">
      <c r="B664" s="14"/>
      <c r="C664" s="11"/>
      <c r="D664" s="14"/>
      <c r="E664" s="14"/>
      <c r="F664" s="14"/>
      <c r="R664" s="9"/>
      <c r="S664" s="9"/>
    </row>
    <row r="665" spans="2:19" ht="15.75" customHeight="1" x14ac:dyDescent="0.25">
      <c r="B665" s="14"/>
      <c r="C665" s="11"/>
      <c r="D665" s="14"/>
      <c r="E665" s="14"/>
      <c r="F665" s="14"/>
      <c r="R665" s="9"/>
      <c r="S665" s="9"/>
    </row>
    <row r="666" spans="2:19" ht="15.75" customHeight="1" x14ac:dyDescent="0.25">
      <c r="B666" s="14"/>
      <c r="C666" s="11"/>
      <c r="D666" s="14"/>
      <c r="E666" s="14"/>
      <c r="F666" s="14"/>
      <c r="R666" s="9"/>
      <c r="S666" s="9"/>
    </row>
    <row r="667" spans="2:19" ht="15.75" customHeight="1" x14ac:dyDescent="0.25">
      <c r="B667" s="14"/>
      <c r="C667" s="11"/>
      <c r="D667" s="14"/>
      <c r="E667" s="14"/>
      <c r="F667" s="14"/>
      <c r="R667" s="9"/>
      <c r="S667" s="9"/>
    </row>
    <row r="668" spans="2:19" ht="15.75" customHeight="1" x14ac:dyDescent="0.25">
      <c r="B668" s="14"/>
      <c r="C668" s="11"/>
      <c r="D668" s="14"/>
      <c r="E668" s="14"/>
      <c r="F668" s="14"/>
      <c r="R668" s="9"/>
      <c r="S668" s="9"/>
    </row>
    <row r="669" spans="2:19" ht="15.75" customHeight="1" x14ac:dyDescent="0.25">
      <c r="B669" s="14"/>
      <c r="C669" s="11"/>
      <c r="D669" s="14"/>
      <c r="E669" s="14"/>
      <c r="F669" s="14"/>
      <c r="R669" s="9"/>
      <c r="S669" s="9"/>
    </row>
    <row r="670" spans="2:19" ht="15.75" customHeight="1" x14ac:dyDescent="0.25">
      <c r="B670" s="14"/>
      <c r="C670" s="11"/>
      <c r="D670" s="14"/>
      <c r="E670" s="14"/>
      <c r="F670" s="14"/>
      <c r="R670" s="9"/>
      <c r="S670" s="9"/>
    </row>
    <row r="671" spans="2:19" ht="15.75" customHeight="1" x14ac:dyDescent="0.25">
      <c r="B671" s="14"/>
      <c r="C671" s="11"/>
      <c r="D671" s="14"/>
      <c r="E671" s="14"/>
      <c r="F671" s="14"/>
      <c r="R671" s="9"/>
      <c r="S671" s="9"/>
    </row>
    <row r="672" spans="2:19" ht="15.75" customHeight="1" x14ac:dyDescent="0.25">
      <c r="B672" s="14"/>
      <c r="C672" s="11"/>
      <c r="D672" s="14"/>
      <c r="E672" s="14"/>
      <c r="F672" s="14"/>
      <c r="R672" s="9"/>
      <c r="S672" s="9"/>
    </row>
    <row r="673" spans="2:19" ht="15.75" customHeight="1" x14ac:dyDescent="0.25">
      <c r="B673" s="14"/>
      <c r="C673" s="11"/>
      <c r="D673" s="14"/>
      <c r="E673" s="14"/>
      <c r="F673" s="14"/>
      <c r="R673" s="9"/>
      <c r="S673" s="9"/>
    </row>
    <row r="674" spans="2:19" ht="15.75" customHeight="1" x14ac:dyDescent="0.25">
      <c r="B674" s="14"/>
      <c r="C674" s="11"/>
      <c r="D674" s="14"/>
      <c r="E674" s="14"/>
      <c r="F674" s="14"/>
      <c r="R674" s="9"/>
      <c r="S674" s="9"/>
    </row>
    <row r="675" spans="2:19" ht="15.75" customHeight="1" x14ac:dyDescent="0.25">
      <c r="B675" s="14"/>
      <c r="C675" s="11"/>
      <c r="D675" s="14"/>
      <c r="E675" s="14"/>
      <c r="F675" s="14"/>
      <c r="R675" s="9"/>
      <c r="S675" s="9"/>
    </row>
    <row r="676" spans="2:19" ht="15.75" customHeight="1" x14ac:dyDescent="0.25">
      <c r="B676" s="14"/>
      <c r="C676" s="11"/>
      <c r="D676" s="14"/>
      <c r="E676" s="14"/>
      <c r="F676" s="14"/>
      <c r="R676" s="9"/>
      <c r="S676" s="9"/>
    </row>
    <row r="677" spans="2:19" ht="15.75" customHeight="1" x14ac:dyDescent="0.25">
      <c r="B677" s="14"/>
      <c r="C677" s="11"/>
      <c r="D677" s="14"/>
      <c r="E677" s="14"/>
      <c r="F677" s="14"/>
      <c r="R677" s="9"/>
      <c r="S677" s="9"/>
    </row>
    <row r="678" spans="2:19" ht="15.75" customHeight="1" x14ac:dyDescent="0.25">
      <c r="B678" s="14"/>
      <c r="C678" s="11"/>
      <c r="D678" s="14"/>
      <c r="E678" s="14"/>
      <c r="F678" s="14"/>
      <c r="R678" s="9"/>
      <c r="S678" s="9"/>
    </row>
    <row r="679" spans="2:19" ht="15.75" customHeight="1" x14ac:dyDescent="0.25">
      <c r="B679" s="14"/>
      <c r="C679" s="11"/>
      <c r="D679" s="14"/>
      <c r="E679" s="14"/>
      <c r="F679" s="14"/>
      <c r="R679" s="9"/>
      <c r="S679" s="9"/>
    </row>
    <row r="680" spans="2:19" ht="15.75" customHeight="1" x14ac:dyDescent="0.25">
      <c r="B680" s="14"/>
      <c r="C680" s="11"/>
      <c r="D680" s="14"/>
      <c r="E680" s="14"/>
      <c r="F680" s="14"/>
      <c r="R680" s="9"/>
      <c r="S680" s="9"/>
    </row>
    <row r="681" spans="2:19" ht="15.75" customHeight="1" x14ac:dyDescent="0.25">
      <c r="B681" s="14"/>
      <c r="C681" s="11"/>
      <c r="D681" s="14"/>
      <c r="E681" s="14"/>
      <c r="F681" s="14"/>
      <c r="R681" s="9"/>
      <c r="S681" s="9"/>
    </row>
    <row r="682" spans="2:19" ht="15.75" customHeight="1" x14ac:dyDescent="0.25">
      <c r="B682" s="14"/>
      <c r="C682" s="11"/>
      <c r="D682" s="14"/>
      <c r="E682" s="14"/>
      <c r="F682" s="14"/>
      <c r="R682" s="9"/>
      <c r="S682" s="9"/>
    </row>
    <row r="683" spans="2:19" ht="15.75" customHeight="1" x14ac:dyDescent="0.25">
      <c r="B683" s="14"/>
      <c r="C683" s="11"/>
      <c r="D683" s="14"/>
      <c r="E683" s="14"/>
      <c r="F683" s="14"/>
      <c r="R683" s="9"/>
      <c r="S683" s="9"/>
    </row>
    <row r="684" spans="2:19" ht="15.75" customHeight="1" x14ac:dyDescent="0.25">
      <c r="B684" s="14"/>
      <c r="C684" s="11"/>
      <c r="D684" s="14"/>
      <c r="E684" s="14"/>
      <c r="F684" s="14"/>
      <c r="R684" s="9"/>
      <c r="S684" s="9"/>
    </row>
    <row r="685" spans="2:19" ht="15.75" customHeight="1" x14ac:dyDescent="0.25">
      <c r="B685" s="14"/>
      <c r="C685" s="11"/>
      <c r="D685" s="14"/>
      <c r="E685" s="14"/>
      <c r="F685" s="14"/>
      <c r="R685" s="9"/>
      <c r="S685" s="9"/>
    </row>
    <row r="686" spans="2:19" ht="15.75" customHeight="1" x14ac:dyDescent="0.25">
      <c r="B686" s="14"/>
      <c r="C686" s="11"/>
      <c r="D686" s="14"/>
      <c r="E686" s="14"/>
      <c r="F686" s="14"/>
      <c r="R686" s="9"/>
      <c r="S686" s="9"/>
    </row>
    <row r="687" spans="2:19" ht="15.75" customHeight="1" x14ac:dyDescent="0.25">
      <c r="B687" s="14"/>
      <c r="C687" s="11"/>
      <c r="D687" s="14"/>
      <c r="E687" s="14"/>
      <c r="F687" s="14"/>
      <c r="R687" s="9"/>
      <c r="S687" s="9"/>
    </row>
    <row r="688" spans="2:19" ht="15.75" customHeight="1" x14ac:dyDescent="0.25">
      <c r="B688" s="14"/>
      <c r="C688" s="11"/>
      <c r="D688" s="14"/>
      <c r="E688" s="14"/>
      <c r="F688" s="14"/>
      <c r="R688" s="9"/>
      <c r="S688" s="9"/>
    </row>
    <row r="689" spans="2:19" ht="15.75" customHeight="1" x14ac:dyDescent="0.25">
      <c r="B689" s="14"/>
      <c r="C689" s="11"/>
      <c r="D689" s="14"/>
      <c r="E689" s="14"/>
      <c r="F689" s="14"/>
      <c r="R689" s="9"/>
      <c r="S689" s="9"/>
    </row>
    <row r="690" spans="2:19" ht="15.75" customHeight="1" x14ac:dyDescent="0.25">
      <c r="B690" s="14"/>
      <c r="C690" s="11"/>
      <c r="D690" s="14"/>
      <c r="E690" s="14"/>
      <c r="F690" s="14"/>
      <c r="R690" s="9"/>
      <c r="S690" s="9"/>
    </row>
    <row r="691" spans="2:19" ht="15.75" customHeight="1" x14ac:dyDescent="0.25">
      <c r="B691" s="14"/>
      <c r="C691" s="11"/>
      <c r="D691" s="14"/>
      <c r="E691" s="14"/>
      <c r="F691" s="14"/>
      <c r="R691" s="9"/>
      <c r="S691" s="9"/>
    </row>
    <row r="692" spans="2:19" ht="15.75" customHeight="1" x14ac:dyDescent="0.25">
      <c r="B692" s="14"/>
      <c r="C692" s="11"/>
      <c r="D692" s="14"/>
      <c r="E692" s="14"/>
      <c r="F692" s="14"/>
      <c r="R692" s="9"/>
      <c r="S692" s="9"/>
    </row>
    <row r="693" spans="2:19" ht="15.75" customHeight="1" x14ac:dyDescent="0.25">
      <c r="B693" s="14"/>
      <c r="C693" s="11"/>
      <c r="D693" s="14"/>
      <c r="E693" s="14"/>
      <c r="F693" s="14"/>
      <c r="R693" s="9"/>
      <c r="S693" s="9"/>
    </row>
    <row r="694" spans="2:19" ht="15.75" customHeight="1" x14ac:dyDescent="0.25">
      <c r="B694" s="14"/>
      <c r="C694" s="11"/>
      <c r="D694" s="14"/>
      <c r="E694" s="14"/>
      <c r="F694" s="14"/>
      <c r="R694" s="9"/>
      <c r="S694" s="9"/>
    </row>
    <row r="695" spans="2:19" ht="15.75" customHeight="1" x14ac:dyDescent="0.25">
      <c r="B695" s="14"/>
      <c r="C695" s="11"/>
      <c r="D695" s="14"/>
      <c r="E695" s="14"/>
      <c r="F695" s="14"/>
      <c r="R695" s="9"/>
      <c r="S695" s="9"/>
    </row>
    <row r="696" spans="2:19" ht="15.75" customHeight="1" x14ac:dyDescent="0.25">
      <c r="B696" s="14"/>
      <c r="C696" s="11"/>
      <c r="D696" s="14"/>
      <c r="E696" s="14"/>
      <c r="F696" s="14"/>
      <c r="R696" s="9"/>
      <c r="S696" s="9"/>
    </row>
    <row r="697" spans="2:19" ht="15.75" customHeight="1" x14ac:dyDescent="0.25">
      <c r="B697" s="14"/>
      <c r="C697" s="11"/>
      <c r="D697" s="14"/>
      <c r="E697" s="14"/>
      <c r="F697" s="14"/>
      <c r="R697" s="9"/>
      <c r="S697" s="9"/>
    </row>
    <row r="698" spans="2:19" ht="15.75" customHeight="1" x14ac:dyDescent="0.25">
      <c r="B698" s="14"/>
      <c r="C698" s="11"/>
      <c r="D698" s="14"/>
      <c r="E698" s="14"/>
      <c r="F698" s="14"/>
      <c r="R698" s="9"/>
      <c r="S698" s="9"/>
    </row>
    <row r="699" spans="2:19" ht="15.75" customHeight="1" x14ac:dyDescent="0.25">
      <c r="B699" s="14"/>
      <c r="C699" s="11"/>
      <c r="D699" s="14"/>
      <c r="E699" s="14"/>
      <c r="F699" s="14"/>
      <c r="R699" s="9"/>
      <c r="S699" s="9"/>
    </row>
    <row r="700" spans="2:19" ht="15.75" customHeight="1" x14ac:dyDescent="0.25">
      <c r="B700" s="14"/>
      <c r="C700" s="11"/>
      <c r="D700" s="14"/>
      <c r="E700" s="14"/>
      <c r="F700" s="14"/>
      <c r="R700" s="9"/>
      <c r="S700" s="9"/>
    </row>
    <row r="701" spans="2:19" ht="15.75" customHeight="1" x14ac:dyDescent="0.25">
      <c r="B701" s="14"/>
      <c r="C701" s="11"/>
      <c r="D701" s="14"/>
      <c r="E701" s="14"/>
      <c r="F701" s="14"/>
      <c r="R701" s="9"/>
      <c r="S701" s="9"/>
    </row>
    <row r="702" spans="2:19" ht="15.75" customHeight="1" x14ac:dyDescent="0.25">
      <c r="B702" s="14"/>
      <c r="C702" s="11"/>
      <c r="D702" s="14"/>
      <c r="E702" s="14"/>
      <c r="F702" s="14"/>
      <c r="R702" s="9"/>
      <c r="S702" s="9"/>
    </row>
    <row r="703" spans="2:19" ht="15.75" customHeight="1" x14ac:dyDescent="0.25">
      <c r="B703" s="14"/>
      <c r="C703" s="11"/>
      <c r="D703" s="14"/>
      <c r="E703" s="14"/>
      <c r="F703" s="14"/>
      <c r="R703" s="9"/>
      <c r="S703" s="9"/>
    </row>
    <row r="704" spans="2:19" ht="15.75" customHeight="1" x14ac:dyDescent="0.25">
      <c r="B704" s="14"/>
      <c r="C704" s="11"/>
      <c r="D704" s="14"/>
      <c r="E704" s="14"/>
      <c r="F704" s="14"/>
      <c r="R704" s="9"/>
      <c r="S704" s="9"/>
    </row>
    <row r="705" spans="2:19" ht="15.75" customHeight="1" x14ac:dyDescent="0.25">
      <c r="B705" s="14"/>
      <c r="C705" s="11"/>
      <c r="D705" s="14"/>
      <c r="E705" s="14"/>
      <c r="F705" s="14"/>
      <c r="R705" s="9"/>
      <c r="S705" s="9"/>
    </row>
    <row r="706" spans="2:19" ht="15.75" customHeight="1" x14ac:dyDescent="0.25">
      <c r="B706" s="14"/>
      <c r="C706" s="11"/>
      <c r="D706" s="14"/>
      <c r="E706" s="14"/>
      <c r="F706" s="14"/>
      <c r="R706" s="9"/>
      <c r="S706" s="9"/>
    </row>
    <row r="707" spans="2:19" ht="15.75" customHeight="1" x14ac:dyDescent="0.25">
      <c r="B707" s="14"/>
      <c r="C707" s="11"/>
      <c r="D707" s="14"/>
      <c r="E707" s="14"/>
      <c r="F707" s="14"/>
      <c r="R707" s="9"/>
      <c r="S707" s="9"/>
    </row>
    <row r="708" spans="2:19" ht="15.75" customHeight="1" x14ac:dyDescent="0.25">
      <c r="B708" s="14"/>
      <c r="C708" s="11"/>
      <c r="D708" s="14"/>
      <c r="E708" s="14"/>
      <c r="F708" s="14"/>
      <c r="R708" s="9"/>
      <c r="S708" s="9"/>
    </row>
    <row r="709" spans="2:19" ht="15.75" customHeight="1" x14ac:dyDescent="0.25">
      <c r="B709" s="14"/>
      <c r="C709" s="11"/>
      <c r="D709" s="14"/>
      <c r="E709" s="14"/>
      <c r="F709" s="14"/>
      <c r="R709" s="9"/>
      <c r="S709" s="9"/>
    </row>
    <row r="710" spans="2:19" ht="15.75" customHeight="1" x14ac:dyDescent="0.25">
      <c r="B710" s="14"/>
      <c r="C710" s="11"/>
      <c r="D710" s="14"/>
      <c r="E710" s="14"/>
      <c r="F710" s="14"/>
      <c r="R710" s="9"/>
      <c r="S710" s="9"/>
    </row>
    <row r="711" spans="2:19" ht="15.75" customHeight="1" x14ac:dyDescent="0.25">
      <c r="B711" s="14"/>
      <c r="C711" s="11"/>
      <c r="D711" s="14"/>
      <c r="E711" s="14"/>
      <c r="F711" s="14"/>
      <c r="R711" s="9"/>
      <c r="S711" s="9"/>
    </row>
    <row r="712" spans="2:19" ht="15.75" customHeight="1" x14ac:dyDescent="0.25">
      <c r="B712" s="14"/>
      <c r="C712" s="11"/>
      <c r="D712" s="14"/>
      <c r="E712" s="14"/>
      <c r="F712" s="14"/>
      <c r="R712" s="9"/>
      <c r="S712" s="9"/>
    </row>
    <row r="713" spans="2:19" ht="15.75" customHeight="1" x14ac:dyDescent="0.25">
      <c r="B713" s="14"/>
      <c r="C713" s="11"/>
      <c r="D713" s="14"/>
      <c r="E713" s="14"/>
      <c r="F713" s="14"/>
      <c r="R713" s="9"/>
      <c r="S713" s="9"/>
    </row>
    <row r="714" spans="2:19" ht="15.75" customHeight="1" x14ac:dyDescent="0.25">
      <c r="B714" s="14"/>
      <c r="C714" s="11"/>
      <c r="D714" s="14"/>
      <c r="E714" s="14"/>
      <c r="F714" s="14"/>
      <c r="R714" s="9"/>
      <c r="S714" s="9"/>
    </row>
    <row r="715" spans="2:19" ht="15.75" customHeight="1" x14ac:dyDescent="0.25">
      <c r="B715" s="14"/>
      <c r="C715" s="11"/>
      <c r="D715" s="14"/>
      <c r="E715" s="14"/>
      <c r="F715" s="14"/>
      <c r="R715" s="9"/>
      <c r="S715" s="9"/>
    </row>
    <row r="716" spans="2:19" ht="15.75" customHeight="1" x14ac:dyDescent="0.25">
      <c r="B716" s="14"/>
      <c r="C716" s="11"/>
      <c r="D716" s="14"/>
      <c r="E716" s="14"/>
      <c r="F716" s="14"/>
      <c r="R716" s="9"/>
      <c r="S716" s="9"/>
    </row>
    <row r="717" spans="2:19" ht="15.75" customHeight="1" x14ac:dyDescent="0.25">
      <c r="B717" s="14"/>
      <c r="C717" s="11"/>
      <c r="D717" s="14"/>
      <c r="E717" s="14"/>
      <c r="F717" s="14"/>
      <c r="R717" s="9"/>
      <c r="S717" s="9"/>
    </row>
    <row r="718" spans="2:19" ht="15.75" customHeight="1" x14ac:dyDescent="0.25">
      <c r="B718" s="14"/>
      <c r="C718" s="11"/>
      <c r="D718" s="14"/>
      <c r="E718" s="14"/>
      <c r="F718" s="14"/>
      <c r="R718" s="9"/>
      <c r="S718" s="9"/>
    </row>
    <row r="719" spans="2:19" ht="15.75" customHeight="1" x14ac:dyDescent="0.25">
      <c r="B719" s="14"/>
      <c r="C719" s="11"/>
      <c r="D719" s="14"/>
      <c r="E719" s="14"/>
      <c r="F719" s="14"/>
      <c r="R719" s="9"/>
      <c r="S719" s="9"/>
    </row>
    <row r="720" spans="2:19" ht="15.75" customHeight="1" x14ac:dyDescent="0.25">
      <c r="B720" s="14"/>
      <c r="C720" s="11"/>
      <c r="D720" s="14"/>
      <c r="E720" s="14"/>
      <c r="F720" s="14"/>
      <c r="R720" s="9"/>
      <c r="S720" s="9"/>
    </row>
    <row r="721" spans="2:19" ht="15.75" customHeight="1" x14ac:dyDescent="0.25">
      <c r="B721" s="14"/>
      <c r="C721" s="11"/>
      <c r="D721" s="14"/>
      <c r="E721" s="14"/>
      <c r="F721" s="14"/>
      <c r="R721" s="9"/>
      <c r="S721" s="9"/>
    </row>
    <row r="722" spans="2:19" ht="15.75" customHeight="1" x14ac:dyDescent="0.25">
      <c r="B722" s="14"/>
      <c r="C722" s="11"/>
      <c r="D722" s="14"/>
      <c r="E722" s="14"/>
      <c r="F722" s="14"/>
      <c r="R722" s="9"/>
      <c r="S722" s="9"/>
    </row>
    <row r="723" spans="2:19" ht="15.75" customHeight="1" x14ac:dyDescent="0.25">
      <c r="B723" s="14"/>
      <c r="C723" s="11"/>
      <c r="D723" s="14"/>
      <c r="E723" s="14"/>
      <c r="F723" s="14"/>
      <c r="R723" s="9"/>
      <c r="S723" s="9"/>
    </row>
    <row r="724" spans="2:19" ht="15.75" customHeight="1" x14ac:dyDescent="0.25">
      <c r="B724" s="14"/>
      <c r="C724" s="11"/>
      <c r="D724" s="14"/>
      <c r="E724" s="14"/>
      <c r="F724" s="14"/>
      <c r="R724" s="9"/>
      <c r="S724" s="9"/>
    </row>
    <row r="725" spans="2:19" ht="15.75" customHeight="1" x14ac:dyDescent="0.25">
      <c r="B725" s="14"/>
      <c r="C725" s="11"/>
      <c r="D725" s="14"/>
      <c r="E725" s="14"/>
      <c r="F725" s="14"/>
      <c r="R725" s="9"/>
      <c r="S725" s="9"/>
    </row>
    <row r="726" spans="2:19" ht="15.75" customHeight="1" x14ac:dyDescent="0.25">
      <c r="B726" s="14"/>
      <c r="C726" s="11"/>
      <c r="D726" s="14"/>
      <c r="E726" s="14"/>
      <c r="F726" s="14"/>
      <c r="R726" s="9"/>
      <c r="S726" s="9"/>
    </row>
    <row r="727" spans="2:19" ht="15.75" customHeight="1" x14ac:dyDescent="0.25">
      <c r="B727" s="14"/>
      <c r="C727" s="11"/>
      <c r="D727" s="14"/>
      <c r="E727" s="14"/>
      <c r="F727" s="14"/>
      <c r="R727" s="9"/>
      <c r="S727" s="9"/>
    </row>
    <row r="728" spans="2:19" ht="15.75" customHeight="1" x14ac:dyDescent="0.25">
      <c r="B728" s="14"/>
      <c r="C728" s="11"/>
      <c r="D728" s="14"/>
      <c r="E728" s="14"/>
      <c r="F728" s="14"/>
      <c r="R728" s="9"/>
      <c r="S728" s="9"/>
    </row>
    <row r="729" spans="2:19" ht="15.75" customHeight="1" x14ac:dyDescent="0.25">
      <c r="B729" s="14"/>
      <c r="C729" s="11"/>
      <c r="D729" s="14"/>
      <c r="E729" s="14"/>
      <c r="F729" s="14"/>
      <c r="R729" s="9"/>
      <c r="S729" s="9"/>
    </row>
    <row r="730" spans="2:19" ht="15.75" customHeight="1" x14ac:dyDescent="0.25">
      <c r="B730" s="14"/>
      <c r="C730" s="11"/>
      <c r="D730" s="14"/>
      <c r="E730" s="14"/>
      <c r="F730" s="14"/>
      <c r="R730" s="9"/>
      <c r="S730" s="9"/>
    </row>
    <row r="731" spans="2:19" ht="15.75" customHeight="1" x14ac:dyDescent="0.25">
      <c r="B731" s="14"/>
      <c r="C731" s="11"/>
      <c r="D731" s="14"/>
      <c r="E731" s="14"/>
      <c r="F731" s="14"/>
      <c r="R731" s="9"/>
      <c r="S731" s="9"/>
    </row>
    <row r="732" spans="2:19" ht="15.75" customHeight="1" x14ac:dyDescent="0.25">
      <c r="B732" s="14"/>
      <c r="C732" s="11"/>
      <c r="D732" s="14"/>
      <c r="E732" s="14"/>
      <c r="F732" s="14"/>
      <c r="R732" s="9"/>
      <c r="S732" s="9"/>
    </row>
    <row r="733" spans="2:19" ht="15.75" customHeight="1" x14ac:dyDescent="0.25">
      <c r="B733" s="14"/>
      <c r="C733" s="11"/>
      <c r="D733" s="14"/>
      <c r="E733" s="14"/>
      <c r="F733" s="14"/>
      <c r="R733" s="9"/>
      <c r="S733" s="9"/>
    </row>
    <row r="734" spans="2:19" ht="15.75" customHeight="1" x14ac:dyDescent="0.25">
      <c r="B734" s="14"/>
      <c r="C734" s="11"/>
      <c r="D734" s="14"/>
      <c r="E734" s="14"/>
      <c r="F734" s="14"/>
      <c r="R734" s="9"/>
      <c r="S734" s="9"/>
    </row>
    <row r="735" spans="2:19" ht="15.75" customHeight="1" x14ac:dyDescent="0.25">
      <c r="B735" s="14"/>
      <c r="C735" s="11"/>
      <c r="D735" s="14"/>
      <c r="E735" s="14"/>
      <c r="F735" s="14"/>
      <c r="R735" s="9"/>
      <c r="S735" s="9"/>
    </row>
    <row r="736" spans="2:19" ht="15.75" customHeight="1" x14ac:dyDescent="0.25">
      <c r="B736" s="14"/>
      <c r="C736" s="11"/>
      <c r="D736" s="14"/>
      <c r="E736" s="14"/>
      <c r="F736" s="14"/>
      <c r="R736" s="9"/>
      <c r="S736" s="9"/>
    </row>
    <row r="737" spans="2:19" ht="15.75" customHeight="1" x14ac:dyDescent="0.25">
      <c r="B737" s="14"/>
      <c r="C737" s="11"/>
      <c r="D737" s="14"/>
      <c r="E737" s="14"/>
      <c r="F737" s="14"/>
      <c r="R737" s="9"/>
      <c r="S737" s="9"/>
    </row>
    <row r="738" spans="2:19" ht="15.75" customHeight="1" x14ac:dyDescent="0.25">
      <c r="B738" s="14"/>
      <c r="C738" s="11"/>
      <c r="D738" s="14"/>
      <c r="E738" s="14"/>
      <c r="F738" s="14"/>
      <c r="R738" s="9"/>
      <c r="S738" s="9"/>
    </row>
    <row r="739" spans="2:19" ht="15.75" customHeight="1" x14ac:dyDescent="0.25">
      <c r="B739" s="14"/>
      <c r="C739" s="11"/>
      <c r="D739" s="14"/>
      <c r="E739" s="14"/>
      <c r="F739" s="14"/>
      <c r="R739" s="9"/>
      <c r="S739" s="9"/>
    </row>
    <row r="740" spans="2:19" ht="15.75" customHeight="1" x14ac:dyDescent="0.25">
      <c r="B740" s="14"/>
      <c r="C740" s="11"/>
      <c r="D740" s="14"/>
      <c r="E740" s="14"/>
      <c r="F740" s="14"/>
      <c r="R740" s="9"/>
      <c r="S740" s="9"/>
    </row>
    <row r="741" spans="2:19" ht="15.75" customHeight="1" x14ac:dyDescent="0.25">
      <c r="B741" s="14"/>
      <c r="C741" s="11"/>
      <c r="D741" s="14"/>
      <c r="E741" s="14"/>
      <c r="F741" s="14"/>
      <c r="R741" s="9"/>
      <c r="S741" s="9"/>
    </row>
    <row r="742" spans="2:19" ht="15.75" customHeight="1" x14ac:dyDescent="0.25">
      <c r="B742" s="14"/>
      <c r="C742" s="11"/>
      <c r="D742" s="14"/>
      <c r="E742" s="14"/>
      <c r="F742" s="14"/>
      <c r="R742" s="9"/>
      <c r="S742" s="9"/>
    </row>
    <row r="743" spans="2:19" ht="15.75" customHeight="1" x14ac:dyDescent="0.25">
      <c r="B743" s="14"/>
      <c r="C743" s="11"/>
      <c r="D743" s="14"/>
      <c r="E743" s="14"/>
      <c r="F743" s="14"/>
      <c r="R743" s="9"/>
      <c r="S743" s="9"/>
    </row>
    <row r="744" spans="2:19" ht="15.75" customHeight="1" x14ac:dyDescent="0.25">
      <c r="B744" s="14"/>
      <c r="C744" s="11"/>
      <c r="D744" s="14"/>
      <c r="E744" s="14"/>
      <c r="F744" s="14"/>
      <c r="R744" s="9"/>
      <c r="S744" s="9"/>
    </row>
    <row r="745" spans="2:19" ht="15.75" customHeight="1" x14ac:dyDescent="0.25">
      <c r="B745" s="14"/>
      <c r="C745" s="11"/>
      <c r="D745" s="14"/>
      <c r="E745" s="14"/>
      <c r="F745" s="14"/>
      <c r="R745" s="9"/>
      <c r="S745" s="9"/>
    </row>
    <row r="746" spans="2:19" ht="15.75" customHeight="1" x14ac:dyDescent="0.25">
      <c r="B746" s="14"/>
      <c r="C746" s="11"/>
      <c r="D746" s="14"/>
      <c r="E746" s="14"/>
      <c r="F746" s="14"/>
      <c r="R746" s="9"/>
      <c r="S746" s="9"/>
    </row>
    <row r="747" spans="2:19" ht="15.75" customHeight="1" x14ac:dyDescent="0.25">
      <c r="B747" s="14"/>
      <c r="C747" s="11"/>
      <c r="D747" s="14"/>
      <c r="E747" s="14"/>
      <c r="F747" s="14"/>
      <c r="R747" s="9"/>
      <c r="S747" s="9"/>
    </row>
    <row r="748" spans="2:19" ht="15.75" customHeight="1" x14ac:dyDescent="0.25">
      <c r="B748" s="14"/>
      <c r="C748" s="11"/>
      <c r="D748" s="14"/>
      <c r="E748" s="14"/>
      <c r="F748" s="14"/>
      <c r="R748" s="9"/>
      <c r="S748" s="9"/>
    </row>
    <row r="749" spans="2:19" ht="15.75" customHeight="1" x14ac:dyDescent="0.25">
      <c r="B749" s="14"/>
      <c r="C749" s="11"/>
      <c r="D749" s="14"/>
      <c r="E749" s="14"/>
      <c r="F749" s="14"/>
      <c r="R749" s="9"/>
      <c r="S749" s="9"/>
    </row>
    <row r="750" spans="2:19" ht="15.75" customHeight="1" x14ac:dyDescent="0.25">
      <c r="B750" s="14"/>
      <c r="C750" s="11"/>
      <c r="D750" s="14"/>
      <c r="E750" s="14"/>
      <c r="F750" s="14"/>
      <c r="R750" s="9"/>
      <c r="S750" s="9"/>
    </row>
    <row r="751" spans="2:19" ht="15.75" customHeight="1" x14ac:dyDescent="0.25">
      <c r="B751" s="14"/>
      <c r="C751" s="11"/>
      <c r="D751" s="14"/>
      <c r="E751" s="14"/>
      <c r="F751" s="14"/>
      <c r="R751" s="9"/>
      <c r="S751" s="9"/>
    </row>
    <row r="752" spans="2:19" ht="15.75" customHeight="1" x14ac:dyDescent="0.25">
      <c r="B752" s="14"/>
      <c r="C752" s="11"/>
      <c r="D752" s="14"/>
      <c r="E752" s="14"/>
      <c r="F752" s="14"/>
      <c r="R752" s="9"/>
      <c r="S752" s="9"/>
    </row>
    <row r="753" spans="2:19" ht="15.75" customHeight="1" x14ac:dyDescent="0.25">
      <c r="B753" s="14"/>
      <c r="C753" s="11"/>
      <c r="D753" s="14"/>
      <c r="E753" s="14"/>
      <c r="F753" s="14"/>
      <c r="R753" s="9"/>
      <c r="S753" s="9"/>
    </row>
    <row r="754" spans="2:19" ht="15.75" customHeight="1" x14ac:dyDescent="0.25">
      <c r="B754" s="14"/>
      <c r="C754" s="11"/>
      <c r="D754" s="14"/>
      <c r="E754" s="14"/>
      <c r="F754" s="14"/>
      <c r="R754" s="9"/>
      <c r="S754" s="9"/>
    </row>
    <row r="755" spans="2:19" ht="15.75" customHeight="1" x14ac:dyDescent="0.25">
      <c r="B755" s="14"/>
      <c r="C755" s="11"/>
      <c r="D755" s="14"/>
      <c r="E755" s="14"/>
      <c r="F755" s="14"/>
      <c r="R755" s="9"/>
      <c r="S755" s="9"/>
    </row>
    <row r="756" spans="2:19" ht="15.75" customHeight="1" x14ac:dyDescent="0.25">
      <c r="B756" s="14"/>
      <c r="C756" s="11"/>
      <c r="D756" s="14"/>
      <c r="E756" s="14"/>
      <c r="F756" s="14"/>
      <c r="R756" s="9"/>
      <c r="S756" s="9"/>
    </row>
    <row r="757" spans="2:19" ht="15.75" customHeight="1" x14ac:dyDescent="0.25">
      <c r="B757" s="14"/>
      <c r="C757" s="11"/>
      <c r="D757" s="14"/>
      <c r="E757" s="14"/>
      <c r="F757" s="14"/>
      <c r="R757" s="9"/>
      <c r="S757" s="9"/>
    </row>
    <row r="758" spans="2:19" ht="15.75" customHeight="1" x14ac:dyDescent="0.25">
      <c r="B758" s="14"/>
      <c r="C758" s="11"/>
      <c r="D758" s="14"/>
      <c r="E758" s="14"/>
      <c r="F758" s="14"/>
      <c r="R758" s="9"/>
      <c r="S758" s="9"/>
    </row>
    <row r="759" spans="2:19" ht="15.75" customHeight="1" x14ac:dyDescent="0.25">
      <c r="B759" s="14"/>
      <c r="C759" s="11"/>
      <c r="D759" s="14"/>
      <c r="E759" s="14"/>
      <c r="F759" s="14"/>
      <c r="R759" s="9"/>
      <c r="S759" s="9"/>
    </row>
    <row r="760" spans="2:19" ht="15.75" customHeight="1" x14ac:dyDescent="0.25">
      <c r="B760" s="14"/>
      <c r="C760" s="11"/>
      <c r="D760" s="14"/>
      <c r="E760" s="14"/>
      <c r="F760" s="14"/>
      <c r="R760" s="9"/>
      <c r="S760" s="9"/>
    </row>
    <row r="761" spans="2:19" ht="15.75" customHeight="1" x14ac:dyDescent="0.25">
      <c r="B761" s="14"/>
      <c r="C761" s="11"/>
      <c r="D761" s="14"/>
      <c r="E761" s="14"/>
      <c r="F761" s="14"/>
      <c r="R761" s="9"/>
      <c r="S761" s="9"/>
    </row>
    <row r="762" spans="2:19" ht="15.75" customHeight="1" x14ac:dyDescent="0.25">
      <c r="B762" s="14"/>
      <c r="C762" s="11"/>
      <c r="D762" s="14"/>
      <c r="E762" s="14"/>
      <c r="F762" s="14"/>
      <c r="R762" s="9"/>
      <c r="S762" s="9"/>
    </row>
    <row r="763" spans="2:19" ht="15.75" customHeight="1" x14ac:dyDescent="0.25">
      <c r="B763" s="14"/>
      <c r="C763" s="11"/>
      <c r="D763" s="14"/>
      <c r="E763" s="14"/>
      <c r="F763" s="14"/>
      <c r="R763" s="9"/>
      <c r="S763" s="9"/>
    </row>
    <row r="764" spans="2:19" ht="15.75" customHeight="1" x14ac:dyDescent="0.25">
      <c r="B764" s="14"/>
      <c r="C764" s="11"/>
      <c r="D764" s="14"/>
      <c r="E764" s="14"/>
      <c r="F764" s="14"/>
      <c r="R764" s="9"/>
      <c r="S764" s="9"/>
    </row>
    <row r="765" spans="2:19" ht="15.75" customHeight="1" x14ac:dyDescent="0.25">
      <c r="B765" s="14"/>
      <c r="C765" s="11"/>
      <c r="D765" s="14"/>
      <c r="E765" s="14"/>
      <c r="F765" s="14"/>
      <c r="R765" s="9"/>
      <c r="S765" s="9"/>
    </row>
    <row r="766" spans="2:19" ht="15.75" customHeight="1" x14ac:dyDescent="0.25">
      <c r="B766" s="14"/>
      <c r="C766" s="11"/>
      <c r="D766" s="14"/>
      <c r="E766" s="14"/>
      <c r="F766" s="14"/>
      <c r="R766" s="9"/>
      <c r="S766" s="9"/>
    </row>
    <row r="767" spans="2:19" ht="15.75" customHeight="1" x14ac:dyDescent="0.25">
      <c r="B767" s="14"/>
      <c r="C767" s="11"/>
      <c r="D767" s="14"/>
      <c r="E767" s="14"/>
      <c r="F767" s="14"/>
      <c r="R767" s="9"/>
      <c r="S767" s="9"/>
    </row>
    <row r="768" spans="2:19" ht="15.75" customHeight="1" x14ac:dyDescent="0.25">
      <c r="B768" s="14"/>
      <c r="C768" s="11"/>
      <c r="D768" s="14"/>
      <c r="E768" s="14"/>
      <c r="F768" s="14"/>
      <c r="R768" s="9"/>
      <c r="S768" s="9"/>
    </row>
    <row r="769" spans="2:19" ht="15.75" customHeight="1" x14ac:dyDescent="0.25">
      <c r="B769" s="14"/>
      <c r="C769" s="11"/>
      <c r="D769" s="14"/>
      <c r="E769" s="14"/>
      <c r="F769" s="14"/>
      <c r="R769" s="9"/>
      <c r="S769" s="9"/>
    </row>
    <row r="770" spans="2:19" ht="15.75" customHeight="1" x14ac:dyDescent="0.25">
      <c r="B770" s="14"/>
      <c r="C770" s="11"/>
      <c r="D770" s="14"/>
      <c r="E770" s="14"/>
      <c r="F770" s="14"/>
      <c r="R770" s="9"/>
      <c r="S770" s="9"/>
    </row>
    <row r="771" spans="2:19" ht="15.75" customHeight="1" x14ac:dyDescent="0.25">
      <c r="B771" s="14"/>
      <c r="C771" s="11"/>
      <c r="D771" s="14"/>
      <c r="E771" s="14"/>
      <c r="F771" s="14"/>
      <c r="R771" s="9"/>
      <c r="S771" s="9"/>
    </row>
    <row r="772" spans="2:19" ht="15.75" customHeight="1" x14ac:dyDescent="0.25">
      <c r="B772" s="14"/>
      <c r="C772" s="11"/>
      <c r="D772" s="14"/>
      <c r="E772" s="14"/>
      <c r="F772" s="14"/>
      <c r="R772" s="9"/>
      <c r="S772" s="9"/>
    </row>
    <row r="773" spans="2:19" ht="15.75" customHeight="1" x14ac:dyDescent="0.25">
      <c r="B773" s="14"/>
      <c r="C773" s="11"/>
      <c r="D773" s="14"/>
      <c r="E773" s="14"/>
      <c r="F773" s="14"/>
      <c r="R773" s="9"/>
      <c r="S773" s="9"/>
    </row>
    <row r="774" spans="2:19" ht="15.75" customHeight="1" x14ac:dyDescent="0.25">
      <c r="B774" s="14"/>
      <c r="C774" s="11"/>
      <c r="D774" s="14"/>
      <c r="E774" s="14"/>
      <c r="F774" s="14"/>
      <c r="R774" s="9"/>
      <c r="S774" s="9"/>
    </row>
    <row r="775" spans="2:19" ht="15.75" customHeight="1" x14ac:dyDescent="0.25">
      <c r="B775" s="14"/>
      <c r="C775" s="11"/>
      <c r="D775" s="14"/>
      <c r="E775" s="14"/>
      <c r="F775" s="14"/>
      <c r="R775" s="9"/>
      <c r="S775" s="9"/>
    </row>
    <row r="776" spans="2:19" ht="15.75" customHeight="1" x14ac:dyDescent="0.25">
      <c r="B776" s="14"/>
      <c r="C776" s="11"/>
      <c r="D776" s="14"/>
      <c r="E776" s="14"/>
      <c r="F776" s="14"/>
      <c r="R776" s="9"/>
      <c r="S776" s="9"/>
    </row>
  </sheetData>
  <mergeCells count="15">
    <mergeCell ref="J2:J3"/>
    <mergeCell ref="K2:M2"/>
    <mergeCell ref="R1:R3"/>
    <mergeCell ref="Q2:Q3"/>
    <mergeCell ref="A1:Q1"/>
    <mergeCell ref="A2:A3"/>
    <mergeCell ref="B2:B3"/>
    <mergeCell ref="C2:C3"/>
    <mergeCell ref="D2:D3"/>
    <mergeCell ref="E2:E3"/>
    <mergeCell ref="N2:P2"/>
    <mergeCell ref="F2:F3"/>
    <mergeCell ref="G2:G3"/>
    <mergeCell ref="H2:H3"/>
    <mergeCell ref="I2:I3"/>
  </mergeCells>
  <conditionalFormatting sqref="E98">
    <cfRule type="cellIs" dxfId="0" priority="2" operator="greaterThanOrEqual">
      <formula>37500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99"/>
  <sheetViews>
    <sheetView zoomScale="75" zoomScaleNormal="75" workbookViewId="0">
      <selection activeCell="W36" sqref="W36"/>
    </sheetView>
  </sheetViews>
  <sheetFormatPr defaultColWidth="14.42578125" defaultRowHeight="15" customHeight="1" x14ac:dyDescent="0.25"/>
  <sheetData>
    <row r="1" spans="1:19" x14ac:dyDescent="0.25">
      <c r="A1" s="82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83" t="s">
        <v>22</v>
      </c>
      <c r="Q1" s="71"/>
      <c r="R1" s="71"/>
      <c r="S1" s="71"/>
    </row>
    <row r="2" spans="1:19" x14ac:dyDescent="0.25">
      <c r="A2" s="84" t="s">
        <v>23</v>
      </c>
      <c r="B2" s="85" t="s">
        <v>24</v>
      </c>
      <c r="C2" s="85" t="s">
        <v>25</v>
      </c>
      <c r="D2" s="86" t="s">
        <v>26</v>
      </c>
      <c r="E2" s="87" t="s">
        <v>27</v>
      </c>
      <c r="F2" s="88" t="s">
        <v>28</v>
      </c>
      <c r="G2" s="89" t="s">
        <v>27</v>
      </c>
      <c r="H2" s="85" t="s">
        <v>29</v>
      </c>
      <c r="I2" s="90" t="s">
        <v>30</v>
      </c>
      <c r="J2" s="85" t="s">
        <v>31</v>
      </c>
      <c r="K2" s="85" t="s">
        <v>32</v>
      </c>
      <c r="L2" s="85" t="s">
        <v>33</v>
      </c>
      <c r="M2" s="85" t="s">
        <v>34</v>
      </c>
      <c r="N2" s="85" t="s">
        <v>35</v>
      </c>
      <c r="O2" s="85" t="s">
        <v>36</v>
      </c>
      <c r="P2" s="83" t="s">
        <v>37</v>
      </c>
      <c r="Q2" s="85" t="s">
        <v>38</v>
      </c>
      <c r="R2" s="85" t="s">
        <v>39</v>
      </c>
      <c r="S2" s="85" t="s">
        <v>40</v>
      </c>
    </row>
    <row r="3" spans="1:19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54">
        <v>45931</v>
      </c>
      <c r="B4" s="55"/>
      <c r="C4" s="60"/>
      <c r="D4" s="61"/>
      <c r="E4" s="91">
        <f t="shared" ref="E4:E33" si="0">D4*0.1</f>
        <v>0</v>
      </c>
      <c r="F4" s="60"/>
      <c r="G4" s="92">
        <f t="shared" ref="G4:G33" si="1">F4*0.1</f>
        <v>0</v>
      </c>
      <c r="H4" s="60"/>
      <c r="I4" s="93">
        <f t="shared" ref="I4:I33" si="2">A4+180</f>
        <v>46111</v>
      </c>
      <c r="J4" s="60"/>
      <c r="K4" s="60"/>
      <c r="L4" s="60"/>
      <c r="M4" s="94">
        <f t="shared" ref="M4:M33" si="3">B4-C4-J4-H4</f>
        <v>0</v>
      </c>
      <c r="N4" s="55"/>
      <c r="O4" s="59">
        <f t="shared" ref="O4:O33" si="4">O3+M4-N4</f>
        <v>0</v>
      </c>
      <c r="P4" s="95">
        <v>1</v>
      </c>
      <c r="Q4" s="58">
        <f t="shared" ref="Q4:Q33" si="5">(M4/P4)-E4-G4-L4</f>
        <v>0</v>
      </c>
      <c r="R4" s="55"/>
      <c r="S4" s="59">
        <f t="shared" ref="S4:S33" si="6">S3+Q4-R4</f>
        <v>0</v>
      </c>
    </row>
    <row r="5" spans="1:19" x14ac:dyDescent="0.25">
      <c r="A5" s="54">
        <v>45932</v>
      </c>
      <c r="B5" s="55"/>
      <c r="C5" s="60"/>
      <c r="D5" s="61"/>
      <c r="E5" s="91">
        <f t="shared" si="0"/>
        <v>0</v>
      </c>
      <c r="F5" s="60"/>
      <c r="G5" s="92">
        <f t="shared" si="1"/>
        <v>0</v>
      </c>
      <c r="H5" s="60"/>
      <c r="I5" s="93">
        <f t="shared" si="2"/>
        <v>46112</v>
      </c>
      <c r="J5" s="60"/>
      <c r="K5" s="60"/>
      <c r="L5" s="60"/>
      <c r="M5" s="94">
        <f t="shared" si="3"/>
        <v>0</v>
      </c>
      <c r="N5" s="55"/>
      <c r="O5" s="59">
        <f t="shared" si="4"/>
        <v>0</v>
      </c>
      <c r="P5" s="95">
        <v>1</v>
      </c>
      <c r="Q5" s="58">
        <f t="shared" si="5"/>
        <v>0</v>
      </c>
      <c r="R5" s="55"/>
      <c r="S5" s="59">
        <f t="shared" si="6"/>
        <v>0</v>
      </c>
    </row>
    <row r="6" spans="1:19" x14ac:dyDescent="0.25">
      <c r="A6" s="54">
        <v>45933</v>
      </c>
      <c r="B6" s="55"/>
      <c r="C6" s="60"/>
      <c r="D6" s="61"/>
      <c r="E6" s="91">
        <f t="shared" si="0"/>
        <v>0</v>
      </c>
      <c r="F6" s="60"/>
      <c r="G6" s="92">
        <f t="shared" si="1"/>
        <v>0</v>
      </c>
      <c r="H6" s="60"/>
      <c r="I6" s="93">
        <f t="shared" si="2"/>
        <v>46113</v>
      </c>
      <c r="J6" s="60"/>
      <c r="K6" s="60"/>
      <c r="L6" s="60"/>
      <c r="M6" s="94">
        <f t="shared" si="3"/>
        <v>0</v>
      </c>
      <c r="N6" s="55"/>
      <c r="O6" s="59">
        <f t="shared" si="4"/>
        <v>0</v>
      </c>
      <c r="P6" s="95">
        <v>1</v>
      </c>
      <c r="Q6" s="58">
        <f t="shared" si="5"/>
        <v>0</v>
      </c>
      <c r="R6" s="55"/>
      <c r="S6" s="59">
        <f t="shared" si="6"/>
        <v>0</v>
      </c>
    </row>
    <row r="7" spans="1:19" x14ac:dyDescent="0.25">
      <c r="A7" s="54">
        <v>45934</v>
      </c>
      <c r="B7" s="55"/>
      <c r="C7" s="60"/>
      <c r="D7" s="61"/>
      <c r="E7" s="91">
        <f t="shared" si="0"/>
        <v>0</v>
      </c>
      <c r="F7" s="60"/>
      <c r="G7" s="92">
        <f t="shared" si="1"/>
        <v>0</v>
      </c>
      <c r="H7" s="60"/>
      <c r="I7" s="93">
        <f t="shared" si="2"/>
        <v>46114</v>
      </c>
      <c r="J7" s="60"/>
      <c r="K7" s="60"/>
      <c r="L7" s="60"/>
      <c r="M7" s="94">
        <f t="shared" si="3"/>
        <v>0</v>
      </c>
      <c r="N7" s="55"/>
      <c r="O7" s="59">
        <f t="shared" si="4"/>
        <v>0</v>
      </c>
      <c r="P7" s="95">
        <v>1</v>
      </c>
      <c r="Q7" s="58">
        <f t="shared" si="5"/>
        <v>0</v>
      </c>
      <c r="R7" s="55"/>
      <c r="S7" s="59">
        <f t="shared" si="6"/>
        <v>0</v>
      </c>
    </row>
    <row r="8" spans="1:19" x14ac:dyDescent="0.25">
      <c r="A8" s="54">
        <v>45935</v>
      </c>
      <c r="B8" s="55"/>
      <c r="C8" s="60"/>
      <c r="D8" s="61"/>
      <c r="E8" s="91">
        <f t="shared" si="0"/>
        <v>0</v>
      </c>
      <c r="F8" s="60"/>
      <c r="G8" s="92">
        <f t="shared" si="1"/>
        <v>0</v>
      </c>
      <c r="H8" s="60"/>
      <c r="I8" s="93">
        <f t="shared" si="2"/>
        <v>46115</v>
      </c>
      <c r="J8" s="60"/>
      <c r="K8" s="60"/>
      <c r="L8" s="60"/>
      <c r="M8" s="94">
        <f t="shared" si="3"/>
        <v>0</v>
      </c>
      <c r="N8" s="55"/>
      <c r="O8" s="59">
        <f t="shared" si="4"/>
        <v>0</v>
      </c>
      <c r="P8" s="95">
        <v>1</v>
      </c>
      <c r="Q8" s="58">
        <f t="shared" si="5"/>
        <v>0</v>
      </c>
      <c r="R8" s="55"/>
      <c r="S8" s="59">
        <f t="shared" si="6"/>
        <v>0</v>
      </c>
    </row>
    <row r="9" spans="1:19" x14ac:dyDescent="0.25">
      <c r="A9" s="54">
        <v>45936</v>
      </c>
      <c r="B9" s="55"/>
      <c r="C9" s="60"/>
      <c r="D9" s="61"/>
      <c r="E9" s="91">
        <f t="shared" si="0"/>
        <v>0</v>
      </c>
      <c r="F9" s="60"/>
      <c r="G9" s="92">
        <f t="shared" si="1"/>
        <v>0</v>
      </c>
      <c r="H9" s="60"/>
      <c r="I9" s="93">
        <f t="shared" si="2"/>
        <v>46116</v>
      </c>
      <c r="J9" s="60"/>
      <c r="K9" s="60"/>
      <c r="L9" s="60"/>
      <c r="M9" s="94">
        <f t="shared" si="3"/>
        <v>0</v>
      </c>
      <c r="N9" s="55"/>
      <c r="O9" s="59">
        <f t="shared" si="4"/>
        <v>0</v>
      </c>
      <c r="P9" s="95">
        <v>1</v>
      </c>
      <c r="Q9" s="58">
        <f t="shared" si="5"/>
        <v>0</v>
      </c>
      <c r="R9" s="55"/>
      <c r="S9" s="59">
        <f t="shared" si="6"/>
        <v>0</v>
      </c>
    </row>
    <row r="10" spans="1:19" x14ac:dyDescent="0.25">
      <c r="A10" s="54">
        <v>45937</v>
      </c>
      <c r="B10" s="55"/>
      <c r="C10" s="60"/>
      <c r="D10" s="61"/>
      <c r="E10" s="91">
        <f t="shared" si="0"/>
        <v>0</v>
      </c>
      <c r="F10" s="94"/>
      <c r="G10" s="92">
        <f t="shared" si="1"/>
        <v>0</v>
      </c>
      <c r="H10" s="60"/>
      <c r="I10" s="93">
        <f t="shared" si="2"/>
        <v>46117</v>
      </c>
      <c r="J10" s="60"/>
      <c r="K10" s="60"/>
      <c r="L10" s="60"/>
      <c r="M10" s="94">
        <f t="shared" si="3"/>
        <v>0</v>
      </c>
      <c r="N10" s="55"/>
      <c r="O10" s="59">
        <f t="shared" si="4"/>
        <v>0</v>
      </c>
      <c r="P10" s="95">
        <v>1</v>
      </c>
      <c r="Q10" s="58">
        <f t="shared" si="5"/>
        <v>0</v>
      </c>
      <c r="R10" s="55"/>
      <c r="S10" s="59">
        <f t="shared" si="6"/>
        <v>0</v>
      </c>
    </row>
    <row r="11" spans="1:19" x14ac:dyDescent="0.25">
      <c r="A11" s="54">
        <v>45938</v>
      </c>
      <c r="B11" s="55"/>
      <c r="C11" s="60"/>
      <c r="D11" s="61"/>
      <c r="E11" s="91">
        <f t="shared" si="0"/>
        <v>0</v>
      </c>
      <c r="F11" s="60">
        <v>7</v>
      </c>
      <c r="G11" s="92">
        <f t="shared" si="1"/>
        <v>0.70000000000000007</v>
      </c>
      <c r="H11" s="60"/>
      <c r="I11" s="93">
        <f t="shared" si="2"/>
        <v>46118</v>
      </c>
      <c r="J11" s="60"/>
      <c r="K11" s="60"/>
      <c r="L11" s="60"/>
      <c r="M11" s="94">
        <f t="shared" si="3"/>
        <v>0</v>
      </c>
      <c r="N11" s="55"/>
      <c r="O11" s="59">
        <f t="shared" si="4"/>
        <v>0</v>
      </c>
      <c r="P11" s="95">
        <v>1</v>
      </c>
      <c r="Q11" s="58">
        <f t="shared" si="5"/>
        <v>-0.70000000000000007</v>
      </c>
      <c r="R11" s="55"/>
      <c r="S11" s="59">
        <f t="shared" si="6"/>
        <v>-0.70000000000000007</v>
      </c>
    </row>
    <row r="12" spans="1:19" x14ac:dyDescent="0.25">
      <c r="A12" s="54">
        <v>45939</v>
      </c>
      <c r="B12" s="55"/>
      <c r="C12" s="60"/>
      <c r="D12" s="61"/>
      <c r="E12" s="91">
        <f t="shared" si="0"/>
        <v>0</v>
      </c>
      <c r="F12" s="60"/>
      <c r="G12" s="92">
        <f t="shared" si="1"/>
        <v>0</v>
      </c>
      <c r="H12" s="60"/>
      <c r="I12" s="93">
        <f t="shared" si="2"/>
        <v>46119</v>
      </c>
      <c r="J12" s="60"/>
      <c r="K12" s="60"/>
      <c r="L12" s="60"/>
      <c r="M12" s="94">
        <f t="shared" si="3"/>
        <v>0</v>
      </c>
      <c r="N12" s="55"/>
      <c r="O12" s="59">
        <f t="shared" si="4"/>
        <v>0</v>
      </c>
      <c r="P12" s="95">
        <v>1</v>
      </c>
      <c r="Q12" s="58">
        <f t="shared" si="5"/>
        <v>0</v>
      </c>
      <c r="R12" s="55"/>
      <c r="S12" s="59">
        <f t="shared" si="6"/>
        <v>-0.70000000000000007</v>
      </c>
    </row>
    <row r="13" spans="1:19" x14ac:dyDescent="0.25">
      <c r="A13" s="54">
        <v>45940</v>
      </c>
      <c r="B13" s="55"/>
      <c r="C13" s="60"/>
      <c r="D13" s="61"/>
      <c r="E13" s="91">
        <f t="shared" si="0"/>
        <v>0</v>
      </c>
      <c r="F13" s="60"/>
      <c r="G13" s="92">
        <f t="shared" si="1"/>
        <v>0</v>
      </c>
      <c r="H13" s="60"/>
      <c r="I13" s="93">
        <f t="shared" si="2"/>
        <v>46120</v>
      </c>
      <c r="J13" s="60"/>
      <c r="K13" s="60"/>
      <c r="L13" s="60"/>
      <c r="M13" s="94">
        <f t="shared" si="3"/>
        <v>0</v>
      </c>
      <c r="N13" s="55"/>
      <c r="O13" s="59">
        <f t="shared" si="4"/>
        <v>0</v>
      </c>
      <c r="P13" s="95">
        <v>1</v>
      </c>
      <c r="Q13" s="58">
        <f t="shared" si="5"/>
        <v>0</v>
      </c>
      <c r="R13" s="55"/>
      <c r="S13" s="59">
        <f t="shared" si="6"/>
        <v>-0.70000000000000007</v>
      </c>
    </row>
    <row r="14" spans="1:19" x14ac:dyDescent="0.25">
      <c r="A14" s="54">
        <v>45941</v>
      </c>
      <c r="B14" s="55"/>
      <c r="C14" s="60"/>
      <c r="D14" s="61"/>
      <c r="E14" s="91">
        <f t="shared" si="0"/>
        <v>0</v>
      </c>
      <c r="F14" s="60"/>
      <c r="G14" s="92">
        <f t="shared" si="1"/>
        <v>0</v>
      </c>
      <c r="H14" s="60"/>
      <c r="I14" s="93">
        <f t="shared" si="2"/>
        <v>46121</v>
      </c>
      <c r="J14" s="60"/>
      <c r="K14" s="60"/>
      <c r="L14" s="60"/>
      <c r="M14" s="94">
        <f t="shared" si="3"/>
        <v>0</v>
      </c>
      <c r="N14" s="55"/>
      <c r="O14" s="59">
        <f t="shared" si="4"/>
        <v>0</v>
      </c>
      <c r="P14" s="95">
        <v>1</v>
      </c>
      <c r="Q14" s="58">
        <f t="shared" si="5"/>
        <v>0</v>
      </c>
      <c r="R14" s="55"/>
      <c r="S14" s="59">
        <f t="shared" si="6"/>
        <v>-0.70000000000000007</v>
      </c>
    </row>
    <row r="15" spans="1:19" x14ac:dyDescent="0.25">
      <c r="A15" s="54">
        <v>45942</v>
      </c>
      <c r="B15" s="55"/>
      <c r="C15" s="60"/>
      <c r="D15" s="61"/>
      <c r="E15" s="91">
        <f t="shared" si="0"/>
        <v>0</v>
      </c>
      <c r="F15" s="60"/>
      <c r="G15" s="92">
        <f t="shared" si="1"/>
        <v>0</v>
      </c>
      <c r="H15" s="60"/>
      <c r="I15" s="93">
        <f t="shared" si="2"/>
        <v>46122</v>
      </c>
      <c r="J15" s="60"/>
      <c r="K15" s="60"/>
      <c r="L15" s="60"/>
      <c r="M15" s="94">
        <f t="shared" si="3"/>
        <v>0</v>
      </c>
      <c r="N15" s="55"/>
      <c r="O15" s="59">
        <f t="shared" si="4"/>
        <v>0</v>
      </c>
      <c r="P15" s="95">
        <v>1</v>
      </c>
      <c r="Q15" s="58">
        <f t="shared" si="5"/>
        <v>0</v>
      </c>
      <c r="R15" s="55"/>
      <c r="S15" s="59">
        <f t="shared" si="6"/>
        <v>-0.70000000000000007</v>
      </c>
    </row>
    <row r="16" spans="1:19" x14ac:dyDescent="0.25">
      <c r="A16" s="54">
        <v>45943</v>
      </c>
      <c r="B16" s="55"/>
      <c r="C16" s="60"/>
      <c r="D16" s="61"/>
      <c r="E16" s="91">
        <f t="shared" si="0"/>
        <v>0</v>
      </c>
      <c r="F16" s="60"/>
      <c r="G16" s="92">
        <f t="shared" si="1"/>
        <v>0</v>
      </c>
      <c r="H16" s="60"/>
      <c r="I16" s="93">
        <f t="shared" si="2"/>
        <v>46123</v>
      </c>
      <c r="J16" s="60"/>
      <c r="K16" s="60"/>
      <c r="L16" s="60"/>
      <c r="M16" s="94">
        <f t="shared" si="3"/>
        <v>0</v>
      </c>
      <c r="N16" s="55"/>
      <c r="O16" s="59">
        <f t="shared" si="4"/>
        <v>0</v>
      </c>
      <c r="P16" s="95">
        <v>1</v>
      </c>
      <c r="Q16" s="58">
        <f t="shared" si="5"/>
        <v>0</v>
      </c>
      <c r="R16" s="55"/>
      <c r="S16" s="59">
        <f t="shared" si="6"/>
        <v>-0.70000000000000007</v>
      </c>
    </row>
    <row r="17" spans="1:19" x14ac:dyDescent="0.25">
      <c r="A17" s="54">
        <v>45944</v>
      </c>
      <c r="B17" s="55"/>
      <c r="C17" s="60"/>
      <c r="D17" s="61"/>
      <c r="E17" s="91">
        <f t="shared" si="0"/>
        <v>0</v>
      </c>
      <c r="F17" s="60"/>
      <c r="G17" s="92">
        <f t="shared" si="1"/>
        <v>0</v>
      </c>
      <c r="H17" s="60"/>
      <c r="I17" s="93">
        <f t="shared" si="2"/>
        <v>46124</v>
      </c>
      <c r="J17" s="60"/>
      <c r="K17" s="60"/>
      <c r="L17" s="60"/>
      <c r="M17" s="94">
        <f t="shared" si="3"/>
        <v>0</v>
      </c>
      <c r="N17" s="60"/>
      <c r="O17" s="96">
        <f t="shared" si="4"/>
        <v>0</v>
      </c>
      <c r="P17" s="95">
        <v>1</v>
      </c>
      <c r="Q17" s="58">
        <f t="shared" si="5"/>
        <v>0</v>
      </c>
      <c r="R17" s="60"/>
      <c r="S17" s="96">
        <f t="shared" si="6"/>
        <v>-0.70000000000000007</v>
      </c>
    </row>
    <row r="18" spans="1:19" x14ac:dyDescent="0.25">
      <c r="A18" s="54">
        <v>45946</v>
      </c>
      <c r="B18" s="55"/>
      <c r="C18" s="60"/>
      <c r="D18" s="61"/>
      <c r="E18" s="91">
        <f t="shared" si="0"/>
        <v>0</v>
      </c>
      <c r="F18" s="60"/>
      <c r="G18" s="92">
        <f t="shared" si="1"/>
        <v>0</v>
      </c>
      <c r="H18" s="60"/>
      <c r="I18" s="93">
        <f t="shared" si="2"/>
        <v>46126</v>
      </c>
      <c r="J18" s="60"/>
      <c r="K18" s="60"/>
      <c r="L18" s="60"/>
      <c r="M18" s="94">
        <f t="shared" si="3"/>
        <v>0</v>
      </c>
      <c r="N18" s="60"/>
      <c r="O18" s="96">
        <f t="shared" si="4"/>
        <v>0</v>
      </c>
      <c r="P18" s="95">
        <v>1</v>
      </c>
      <c r="Q18" s="58">
        <f t="shared" si="5"/>
        <v>0</v>
      </c>
      <c r="R18" s="60"/>
      <c r="S18" s="96">
        <f t="shared" si="6"/>
        <v>-0.70000000000000007</v>
      </c>
    </row>
    <row r="19" spans="1:19" x14ac:dyDescent="0.25">
      <c r="A19" s="54">
        <v>45947</v>
      </c>
      <c r="B19" s="55"/>
      <c r="C19" s="60"/>
      <c r="D19" s="61"/>
      <c r="E19" s="91">
        <f t="shared" si="0"/>
        <v>0</v>
      </c>
      <c r="F19" s="60"/>
      <c r="G19" s="92">
        <f t="shared" si="1"/>
        <v>0</v>
      </c>
      <c r="H19" s="60"/>
      <c r="I19" s="93">
        <f t="shared" si="2"/>
        <v>46127</v>
      </c>
      <c r="J19" s="60"/>
      <c r="K19" s="60"/>
      <c r="L19" s="60"/>
      <c r="M19" s="94">
        <f t="shared" si="3"/>
        <v>0</v>
      </c>
      <c r="N19" s="60"/>
      <c r="O19" s="96">
        <f t="shared" si="4"/>
        <v>0</v>
      </c>
      <c r="P19" s="95">
        <v>1</v>
      </c>
      <c r="Q19" s="58">
        <f t="shared" si="5"/>
        <v>0</v>
      </c>
      <c r="R19" s="60"/>
      <c r="S19" s="96">
        <f t="shared" si="6"/>
        <v>-0.70000000000000007</v>
      </c>
    </row>
    <row r="20" spans="1:19" x14ac:dyDescent="0.25">
      <c r="A20" s="54">
        <v>45948</v>
      </c>
      <c r="B20" s="55"/>
      <c r="C20" s="60"/>
      <c r="D20" s="61"/>
      <c r="E20" s="91">
        <f t="shared" si="0"/>
        <v>0</v>
      </c>
      <c r="F20" s="60"/>
      <c r="G20" s="92">
        <f t="shared" si="1"/>
        <v>0</v>
      </c>
      <c r="H20" s="60"/>
      <c r="I20" s="93">
        <f t="shared" si="2"/>
        <v>46128</v>
      </c>
      <c r="J20" s="60"/>
      <c r="K20" s="60"/>
      <c r="L20" s="60"/>
      <c r="M20" s="94">
        <f t="shared" si="3"/>
        <v>0</v>
      </c>
      <c r="N20" s="60"/>
      <c r="O20" s="96">
        <f t="shared" si="4"/>
        <v>0</v>
      </c>
      <c r="P20" s="95">
        <v>1</v>
      </c>
      <c r="Q20" s="58">
        <f t="shared" si="5"/>
        <v>0</v>
      </c>
      <c r="R20" s="60"/>
      <c r="S20" s="96">
        <f t="shared" si="6"/>
        <v>-0.70000000000000007</v>
      </c>
    </row>
    <row r="21" spans="1:19" x14ac:dyDescent="0.25">
      <c r="A21" s="54">
        <v>45949</v>
      </c>
      <c r="B21" s="55"/>
      <c r="C21" s="60"/>
      <c r="D21" s="61"/>
      <c r="E21" s="91">
        <f t="shared" si="0"/>
        <v>0</v>
      </c>
      <c r="F21" s="60"/>
      <c r="G21" s="92">
        <f t="shared" si="1"/>
        <v>0</v>
      </c>
      <c r="H21" s="60"/>
      <c r="I21" s="93">
        <f t="shared" si="2"/>
        <v>46129</v>
      </c>
      <c r="J21" s="60"/>
      <c r="K21" s="60"/>
      <c r="L21" s="60"/>
      <c r="M21" s="94">
        <f t="shared" si="3"/>
        <v>0</v>
      </c>
      <c r="N21" s="60"/>
      <c r="O21" s="96">
        <f t="shared" si="4"/>
        <v>0</v>
      </c>
      <c r="P21" s="95">
        <v>1</v>
      </c>
      <c r="Q21" s="58">
        <f t="shared" si="5"/>
        <v>0</v>
      </c>
      <c r="R21" s="60"/>
      <c r="S21" s="96">
        <f t="shared" si="6"/>
        <v>-0.70000000000000007</v>
      </c>
    </row>
    <row r="22" spans="1:19" x14ac:dyDescent="0.25">
      <c r="A22" s="54">
        <v>45950</v>
      </c>
      <c r="B22" s="55"/>
      <c r="C22" s="60"/>
      <c r="D22" s="61"/>
      <c r="E22" s="91">
        <f t="shared" si="0"/>
        <v>0</v>
      </c>
      <c r="F22" s="60"/>
      <c r="G22" s="92">
        <f t="shared" si="1"/>
        <v>0</v>
      </c>
      <c r="H22" s="60"/>
      <c r="I22" s="93">
        <f t="shared" si="2"/>
        <v>46130</v>
      </c>
      <c r="J22" s="60"/>
      <c r="K22" s="60"/>
      <c r="L22" s="60"/>
      <c r="M22" s="94">
        <f t="shared" si="3"/>
        <v>0</v>
      </c>
      <c r="N22" s="60"/>
      <c r="O22" s="96">
        <f t="shared" si="4"/>
        <v>0</v>
      </c>
      <c r="P22" s="95">
        <v>1</v>
      </c>
      <c r="Q22" s="58">
        <f t="shared" si="5"/>
        <v>0</v>
      </c>
      <c r="R22" s="60"/>
      <c r="S22" s="96">
        <f t="shared" si="6"/>
        <v>-0.70000000000000007</v>
      </c>
    </row>
    <row r="23" spans="1:19" x14ac:dyDescent="0.25">
      <c r="A23" s="54">
        <v>45951</v>
      </c>
      <c r="B23" s="55"/>
      <c r="C23" s="60"/>
      <c r="D23" s="61"/>
      <c r="E23" s="91">
        <f t="shared" si="0"/>
        <v>0</v>
      </c>
      <c r="F23" s="60"/>
      <c r="G23" s="92">
        <f t="shared" si="1"/>
        <v>0</v>
      </c>
      <c r="H23" s="60"/>
      <c r="I23" s="93">
        <f t="shared" si="2"/>
        <v>46131</v>
      </c>
      <c r="J23" s="60"/>
      <c r="K23" s="60"/>
      <c r="L23" s="60"/>
      <c r="M23" s="94">
        <f t="shared" si="3"/>
        <v>0</v>
      </c>
      <c r="N23" s="60"/>
      <c r="O23" s="96">
        <f t="shared" si="4"/>
        <v>0</v>
      </c>
      <c r="P23" s="95">
        <v>1</v>
      </c>
      <c r="Q23" s="58">
        <f t="shared" si="5"/>
        <v>0</v>
      </c>
      <c r="R23" s="60"/>
      <c r="S23" s="96">
        <f t="shared" si="6"/>
        <v>-0.70000000000000007</v>
      </c>
    </row>
    <row r="24" spans="1:19" x14ac:dyDescent="0.25">
      <c r="A24" s="54">
        <v>45952</v>
      </c>
      <c r="B24" s="55"/>
      <c r="C24" s="60"/>
      <c r="D24" s="61"/>
      <c r="E24" s="91">
        <f t="shared" si="0"/>
        <v>0</v>
      </c>
      <c r="F24" s="60"/>
      <c r="G24" s="92">
        <f t="shared" si="1"/>
        <v>0</v>
      </c>
      <c r="H24" s="60"/>
      <c r="I24" s="93">
        <f t="shared" si="2"/>
        <v>46132</v>
      </c>
      <c r="J24" s="60"/>
      <c r="K24" s="60"/>
      <c r="L24" s="60"/>
      <c r="M24" s="94">
        <f t="shared" si="3"/>
        <v>0</v>
      </c>
      <c r="N24" s="60"/>
      <c r="O24" s="96">
        <f t="shared" si="4"/>
        <v>0</v>
      </c>
      <c r="P24" s="95">
        <v>1</v>
      </c>
      <c r="Q24" s="58">
        <f t="shared" si="5"/>
        <v>0</v>
      </c>
      <c r="R24" s="60"/>
      <c r="S24" s="96">
        <f t="shared" si="6"/>
        <v>-0.70000000000000007</v>
      </c>
    </row>
    <row r="25" spans="1:19" x14ac:dyDescent="0.25">
      <c r="A25" s="54">
        <v>45953</v>
      </c>
      <c r="B25" s="55"/>
      <c r="C25" s="60"/>
      <c r="D25" s="61"/>
      <c r="E25" s="91">
        <f t="shared" si="0"/>
        <v>0</v>
      </c>
      <c r="F25" s="60"/>
      <c r="G25" s="92">
        <f t="shared" si="1"/>
        <v>0</v>
      </c>
      <c r="H25" s="60"/>
      <c r="I25" s="93">
        <f t="shared" si="2"/>
        <v>46133</v>
      </c>
      <c r="J25" s="60"/>
      <c r="K25" s="60"/>
      <c r="L25" s="60"/>
      <c r="M25" s="94">
        <f t="shared" si="3"/>
        <v>0</v>
      </c>
      <c r="N25" s="60"/>
      <c r="O25" s="96">
        <f t="shared" si="4"/>
        <v>0</v>
      </c>
      <c r="P25" s="95">
        <v>1</v>
      </c>
      <c r="Q25" s="58">
        <f t="shared" si="5"/>
        <v>0</v>
      </c>
      <c r="R25" s="60"/>
      <c r="S25" s="96">
        <f t="shared" si="6"/>
        <v>-0.70000000000000007</v>
      </c>
    </row>
    <row r="26" spans="1:19" x14ac:dyDescent="0.25">
      <c r="A26" s="54">
        <v>45954</v>
      </c>
      <c r="B26" s="55"/>
      <c r="C26" s="60"/>
      <c r="D26" s="61"/>
      <c r="E26" s="91">
        <f t="shared" si="0"/>
        <v>0</v>
      </c>
      <c r="F26" s="60"/>
      <c r="G26" s="92">
        <f t="shared" si="1"/>
        <v>0</v>
      </c>
      <c r="H26" s="60"/>
      <c r="I26" s="93">
        <f t="shared" si="2"/>
        <v>46134</v>
      </c>
      <c r="J26" s="60"/>
      <c r="K26" s="60"/>
      <c r="L26" s="60"/>
      <c r="M26" s="94">
        <f t="shared" si="3"/>
        <v>0</v>
      </c>
      <c r="N26" s="60"/>
      <c r="O26" s="96">
        <f t="shared" si="4"/>
        <v>0</v>
      </c>
      <c r="P26" s="95">
        <v>1</v>
      </c>
      <c r="Q26" s="58">
        <f t="shared" si="5"/>
        <v>0</v>
      </c>
      <c r="R26" s="60"/>
      <c r="S26" s="96">
        <f t="shared" si="6"/>
        <v>-0.70000000000000007</v>
      </c>
    </row>
    <row r="27" spans="1:19" x14ac:dyDescent="0.25">
      <c r="A27" s="54">
        <v>45955</v>
      </c>
      <c r="B27" s="55"/>
      <c r="C27" s="60"/>
      <c r="D27" s="61"/>
      <c r="E27" s="91">
        <f t="shared" si="0"/>
        <v>0</v>
      </c>
      <c r="F27" s="60"/>
      <c r="G27" s="92">
        <f t="shared" si="1"/>
        <v>0</v>
      </c>
      <c r="H27" s="60"/>
      <c r="I27" s="93">
        <f t="shared" si="2"/>
        <v>46135</v>
      </c>
      <c r="J27" s="60"/>
      <c r="K27" s="60"/>
      <c r="L27" s="60"/>
      <c r="M27" s="94">
        <f t="shared" si="3"/>
        <v>0</v>
      </c>
      <c r="N27" s="60"/>
      <c r="O27" s="96">
        <f t="shared" si="4"/>
        <v>0</v>
      </c>
      <c r="P27" s="95">
        <v>1</v>
      </c>
      <c r="Q27" s="58">
        <f t="shared" si="5"/>
        <v>0</v>
      </c>
      <c r="R27" s="60"/>
      <c r="S27" s="96">
        <f t="shared" si="6"/>
        <v>-0.70000000000000007</v>
      </c>
    </row>
    <row r="28" spans="1:19" x14ac:dyDescent="0.25">
      <c r="A28" s="54">
        <v>45956</v>
      </c>
      <c r="B28" s="55"/>
      <c r="C28" s="60"/>
      <c r="D28" s="61"/>
      <c r="E28" s="91">
        <f t="shared" si="0"/>
        <v>0</v>
      </c>
      <c r="F28" s="60"/>
      <c r="G28" s="92">
        <f t="shared" si="1"/>
        <v>0</v>
      </c>
      <c r="H28" s="60"/>
      <c r="I28" s="93">
        <f t="shared" si="2"/>
        <v>46136</v>
      </c>
      <c r="J28" s="60"/>
      <c r="K28" s="60"/>
      <c r="L28" s="60"/>
      <c r="M28" s="94">
        <f t="shared" si="3"/>
        <v>0</v>
      </c>
      <c r="N28" s="60"/>
      <c r="O28" s="96">
        <f t="shared" si="4"/>
        <v>0</v>
      </c>
      <c r="P28" s="95">
        <v>1</v>
      </c>
      <c r="Q28" s="58">
        <f t="shared" si="5"/>
        <v>0</v>
      </c>
      <c r="R28" s="60"/>
      <c r="S28" s="96">
        <f t="shared" si="6"/>
        <v>-0.70000000000000007</v>
      </c>
    </row>
    <row r="29" spans="1:19" x14ac:dyDescent="0.25">
      <c r="A29" s="54">
        <v>45957</v>
      </c>
      <c r="B29" s="55"/>
      <c r="C29" s="60"/>
      <c r="D29" s="61"/>
      <c r="E29" s="91">
        <f t="shared" si="0"/>
        <v>0</v>
      </c>
      <c r="F29" s="60"/>
      <c r="G29" s="92">
        <f t="shared" si="1"/>
        <v>0</v>
      </c>
      <c r="H29" s="60"/>
      <c r="I29" s="93">
        <f t="shared" si="2"/>
        <v>46137</v>
      </c>
      <c r="J29" s="60"/>
      <c r="K29" s="60"/>
      <c r="L29" s="60"/>
      <c r="M29" s="94">
        <f t="shared" si="3"/>
        <v>0</v>
      </c>
      <c r="N29" s="60"/>
      <c r="O29" s="96">
        <f t="shared" si="4"/>
        <v>0</v>
      </c>
      <c r="P29" s="95">
        <v>1</v>
      </c>
      <c r="Q29" s="58">
        <f t="shared" si="5"/>
        <v>0</v>
      </c>
      <c r="R29" s="60"/>
      <c r="S29" s="96">
        <f t="shared" si="6"/>
        <v>-0.70000000000000007</v>
      </c>
    </row>
    <row r="30" spans="1:19" x14ac:dyDescent="0.25">
      <c r="A30" s="54">
        <v>45958</v>
      </c>
      <c r="B30" s="55"/>
      <c r="C30" s="60"/>
      <c r="D30" s="61"/>
      <c r="E30" s="91">
        <f t="shared" si="0"/>
        <v>0</v>
      </c>
      <c r="F30" s="60"/>
      <c r="G30" s="92">
        <f t="shared" si="1"/>
        <v>0</v>
      </c>
      <c r="H30" s="60"/>
      <c r="I30" s="93">
        <f t="shared" si="2"/>
        <v>46138</v>
      </c>
      <c r="J30" s="60"/>
      <c r="K30" s="60"/>
      <c r="L30" s="60"/>
      <c r="M30" s="94">
        <f t="shared" si="3"/>
        <v>0</v>
      </c>
      <c r="N30" s="60"/>
      <c r="O30" s="96">
        <f t="shared" si="4"/>
        <v>0</v>
      </c>
      <c r="P30" s="95">
        <v>1</v>
      </c>
      <c r="Q30" s="58">
        <f t="shared" si="5"/>
        <v>0</v>
      </c>
      <c r="R30" s="60"/>
      <c r="S30" s="96">
        <f t="shared" si="6"/>
        <v>-0.70000000000000007</v>
      </c>
    </row>
    <row r="31" spans="1:19" x14ac:dyDescent="0.25">
      <c r="A31" s="54">
        <v>45959</v>
      </c>
      <c r="B31" s="55"/>
      <c r="C31" s="60"/>
      <c r="D31" s="61"/>
      <c r="E31" s="91">
        <f t="shared" si="0"/>
        <v>0</v>
      </c>
      <c r="F31" s="60"/>
      <c r="G31" s="92">
        <f t="shared" si="1"/>
        <v>0</v>
      </c>
      <c r="H31" s="60"/>
      <c r="I31" s="93">
        <f t="shared" si="2"/>
        <v>46139</v>
      </c>
      <c r="J31" s="60"/>
      <c r="K31" s="60"/>
      <c r="L31" s="60"/>
      <c r="M31" s="94">
        <f t="shared" si="3"/>
        <v>0</v>
      </c>
      <c r="N31" s="60"/>
      <c r="O31" s="96">
        <f t="shared" si="4"/>
        <v>0</v>
      </c>
      <c r="P31" s="95">
        <v>1</v>
      </c>
      <c r="Q31" s="58">
        <f t="shared" si="5"/>
        <v>0</v>
      </c>
      <c r="R31" s="60"/>
      <c r="S31" s="96">
        <f t="shared" si="6"/>
        <v>-0.70000000000000007</v>
      </c>
    </row>
    <row r="32" spans="1:19" x14ac:dyDescent="0.25">
      <c r="A32" s="54">
        <v>45960</v>
      </c>
      <c r="B32" s="55"/>
      <c r="C32" s="60"/>
      <c r="D32" s="61"/>
      <c r="E32" s="91">
        <f t="shared" si="0"/>
        <v>0</v>
      </c>
      <c r="F32" s="60"/>
      <c r="G32" s="92">
        <f t="shared" si="1"/>
        <v>0</v>
      </c>
      <c r="H32" s="60"/>
      <c r="I32" s="93">
        <f t="shared" si="2"/>
        <v>46140</v>
      </c>
      <c r="J32" s="60"/>
      <c r="K32" s="60"/>
      <c r="L32" s="60"/>
      <c r="M32" s="94">
        <f t="shared" si="3"/>
        <v>0</v>
      </c>
      <c r="N32" s="60"/>
      <c r="O32" s="96">
        <f t="shared" si="4"/>
        <v>0</v>
      </c>
      <c r="P32" s="95">
        <v>1</v>
      </c>
      <c r="Q32" s="58">
        <f t="shared" si="5"/>
        <v>0</v>
      </c>
      <c r="R32" s="60"/>
      <c r="S32" s="96">
        <f t="shared" si="6"/>
        <v>-0.70000000000000007</v>
      </c>
    </row>
    <row r="33" spans="1:19" x14ac:dyDescent="0.25">
      <c r="A33" s="54">
        <v>45961</v>
      </c>
      <c r="B33" s="55"/>
      <c r="C33" s="60"/>
      <c r="D33" s="61"/>
      <c r="E33" s="91">
        <f t="shared" si="0"/>
        <v>0</v>
      </c>
      <c r="F33" s="60"/>
      <c r="G33" s="92">
        <f t="shared" si="1"/>
        <v>0</v>
      </c>
      <c r="H33" s="60"/>
      <c r="I33" s="93">
        <f t="shared" si="2"/>
        <v>46141</v>
      </c>
      <c r="J33" s="60"/>
      <c r="K33" s="60"/>
      <c r="L33" s="60"/>
      <c r="M33" s="94">
        <f t="shared" si="3"/>
        <v>0</v>
      </c>
      <c r="N33" s="60"/>
      <c r="O33" s="96">
        <f t="shared" si="4"/>
        <v>0</v>
      </c>
      <c r="P33" s="95">
        <v>1</v>
      </c>
      <c r="Q33" s="58">
        <f t="shared" si="5"/>
        <v>0</v>
      </c>
      <c r="R33" s="60"/>
      <c r="S33" s="96">
        <f t="shared" si="6"/>
        <v>-0.70000000000000007</v>
      </c>
    </row>
    <row r="34" spans="1:19" x14ac:dyDescent="0.25">
      <c r="A34" s="97" t="s">
        <v>41</v>
      </c>
      <c r="B34" s="67">
        <f t="shared" ref="B34:H34" si="7">SUM(B4:B33)</f>
        <v>0</v>
      </c>
      <c r="C34" s="67">
        <f t="shared" si="7"/>
        <v>0</v>
      </c>
      <c r="D34" s="67">
        <f t="shared" si="7"/>
        <v>0</v>
      </c>
      <c r="E34" s="67">
        <f t="shared" si="7"/>
        <v>0</v>
      </c>
      <c r="F34" s="67">
        <f t="shared" si="7"/>
        <v>7</v>
      </c>
      <c r="G34" s="67">
        <f t="shared" si="7"/>
        <v>0.70000000000000007</v>
      </c>
      <c r="H34" s="67">
        <f t="shared" si="7"/>
        <v>0</v>
      </c>
      <c r="I34" s="98"/>
      <c r="J34" s="67">
        <f t="shared" ref="J34:N34" si="8">SUM(J4:J33)</f>
        <v>0</v>
      </c>
      <c r="K34" s="67">
        <f t="shared" si="8"/>
        <v>0</v>
      </c>
      <c r="L34" s="67">
        <f t="shared" si="8"/>
        <v>0</v>
      </c>
      <c r="M34" s="67">
        <f t="shared" si="8"/>
        <v>0</v>
      </c>
      <c r="N34" s="67">
        <f t="shared" si="8"/>
        <v>0</v>
      </c>
      <c r="O34" s="67">
        <f>M34-N34+O3</f>
        <v>0</v>
      </c>
      <c r="P34" s="99"/>
      <c r="Q34" s="67">
        <f t="shared" ref="Q34:R34" si="9">SUM(Q4:Q33)</f>
        <v>-0.70000000000000007</v>
      </c>
      <c r="R34" s="67">
        <f t="shared" si="9"/>
        <v>0</v>
      </c>
      <c r="S34" s="67">
        <f>S3+Q34-R34</f>
        <v>-0.70000000000000007</v>
      </c>
    </row>
    <row r="35" spans="1:19" x14ac:dyDescent="0.25">
      <c r="A35" s="97" t="s">
        <v>42</v>
      </c>
      <c r="B35" s="67">
        <f t="shared" ref="B35:O35" si="10">B34</f>
        <v>0</v>
      </c>
      <c r="C35" s="67">
        <f t="shared" si="10"/>
        <v>0</v>
      </c>
      <c r="D35" s="67">
        <f t="shared" si="10"/>
        <v>0</v>
      </c>
      <c r="E35" s="67">
        <f t="shared" si="10"/>
        <v>0</v>
      </c>
      <c r="F35" s="67">
        <f t="shared" si="10"/>
        <v>7</v>
      </c>
      <c r="G35" s="67">
        <f t="shared" si="10"/>
        <v>0.70000000000000007</v>
      </c>
      <c r="H35" s="67">
        <f t="shared" si="10"/>
        <v>0</v>
      </c>
      <c r="I35" s="99">
        <f t="shared" si="10"/>
        <v>0</v>
      </c>
      <c r="J35" s="67">
        <f t="shared" si="10"/>
        <v>0</v>
      </c>
      <c r="K35" s="67">
        <f t="shared" si="10"/>
        <v>0</v>
      </c>
      <c r="L35" s="67">
        <f t="shared" si="10"/>
        <v>0</v>
      </c>
      <c r="M35" s="67">
        <f t="shared" si="10"/>
        <v>0</v>
      </c>
      <c r="N35" s="67">
        <f t="shared" si="10"/>
        <v>0</v>
      </c>
      <c r="O35" s="67">
        <f t="shared" si="10"/>
        <v>0</v>
      </c>
      <c r="P35" s="100"/>
      <c r="Q35" s="67">
        <f t="shared" ref="Q35:R35" si="11">Q34</f>
        <v>-0.70000000000000007</v>
      </c>
      <c r="R35" s="67">
        <f t="shared" si="11"/>
        <v>0</v>
      </c>
      <c r="S35" s="67">
        <f>Q35-R35</f>
        <v>-0.70000000000000007</v>
      </c>
    </row>
    <row r="36" spans="1:19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1:19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19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19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19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19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1:19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spans="1:19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1:19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1:19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1:19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1:19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1:19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spans="1:19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19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19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spans="1:19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spans="1:19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spans="1:19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spans="1:19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spans="1:19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pans="1:19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1:19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spans="1:19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spans="1:19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spans="1:19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spans="1:19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spans="1:19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19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19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spans="1:19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spans="1:19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spans="1:19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 spans="1:19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 spans="1:19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spans="1:19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spans="1:19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spans="1:19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spans="1:19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spans="1:19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spans="1:19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19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spans="1:19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09" spans="1:19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</row>
    <row r="110" spans="1:19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19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19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spans="1:19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 spans="1:19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spans="1:19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19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19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 spans="1:19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spans="1:19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spans="1:19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spans="1:19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 spans="1:19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 spans="1:19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spans="1:19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 spans="1:19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 spans="1:19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</row>
    <row r="136" spans="1:19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 spans="1:19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 spans="1:19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</row>
    <row r="139" spans="1:19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</row>
    <row r="140" spans="1:19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 spans="1:19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spans="1:19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</row>
    <row r="143" spans="1:19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 spans="1:19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 spans="1:19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 spans="1:19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</row>
    <row r="147" spans="1:19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spans="1:19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 spans="1:19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  <row r="152" spans="1:19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 spans="1:19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 spans="1:19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 spans="1:19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 spans="1:19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spans="1:19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</row>
    <row r="158" spans="1:19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</row>
    <row r="159" spans="1:19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</row>
    <row r="160" spans="1:19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 spans="1:19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 spans="1:19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</row>
    <row r="163" spans="1:19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</row>
    <row r="164" spans="1:19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 spans="1:19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</row>
    <row r="166" spans="1:19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</row>
    <row r="168" spans="1:19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 spans="1:19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</row>
    <row r="170" spans="1:19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</row>
    <row r="171" spans="1:19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</row>
    <row r="173" spans="1:19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 spans="1:19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spans="1:19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</row>
    <row r="176" spans="1:19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19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</row>
    <row r="178" spans="1:19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19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19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</row>
    <row r="181" spans="1:19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19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19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19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19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19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19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19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</row>
    <row r="189" spans="1:19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19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19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19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</row>
    <row r="193" spans="1:19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</row>
    <row r="194" spans="1:19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</row>
    <row r="195" spans="1:19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</row>
    <row r="196" spans="1:19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</row>
    <row r="197" spans="1:19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</row>
    <row r="198" spans="1:19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spans="1:19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</row>
    <row r="200" spans="1:19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</row>
    <row r="201" spans="1:19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</row>
    <row r="202" spans="1:19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</row>
    <row r="203" spans="1:19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19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</row>
    <row r="205" spans="1:19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19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19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</row>
    <row r="208" spans="1:19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19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 spans="1:19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19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19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</row>
    <row r="213" spans="1:19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 spans="1:19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19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</row>
    <row r="216" spans="1:19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</row>
    <row r="217" spans="1:19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</row>
    <row r="218" spans="1:19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</row>
    <row r="219" spans="1:19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</row>
    <row r="220" spans="1:19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</row>
    <row r="221" spans="1:19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</row>
    <row r="222" spans="1:19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</row>
    <row r="223" spans="1:19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</row>
    <row r="224" spans="1:19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</row>
    <row r="225" spans="1:19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</row>
    <row r="226" spans="1:19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</row>
    <row r="227" spans="1:19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</row>
    <row r="228" spans="1:19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</row>
    <row r="229" spans="1:19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</row>
    <row r="230" spans="1:19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</row>
    <row r="231" spans="1:19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</row>
    <row r="232" spans="1:19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</row>
    <row r="233" spans="1:19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</row>
    <row r="234" spans="1:19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</row>
    <row r="235" spans="1:19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</row>
    <row r="236" spans="1:19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</row>
    <row r="237" spans="1:19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</row>
    <row r="238" spans="1:19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</row>
    <row r="239" spans="1:19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</row>
    <row r="240" spans="1:19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</row>
    <row r="241" spans="1:19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</row>
    <row r="242" spans="1:19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</row>
    <row r="243" spans="1:19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</row>
    <row r="244" spans="1:19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</row>
    <row r="245" spans="1:19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19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</row>
    <row r="247" spans="1:19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19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19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</row>
    <row r="250" spans="1:19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19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19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19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19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</row>
    <row r="255" spans="1:19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19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19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</row>
    <row r="258" spans="1:19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</row>
    <row r="259" spans="1:19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</row>
    <row r="260" spans="1:19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</row>
    <row r="261" spans="1:19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</row>
    <row r="262" spans="1:19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</row>
    <row r="263" spans="1:19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</row>
    <row r="264" spans="1:19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</row>
    <row r="265" spans="1:19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19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</row>
    <row r="267" spans="1:19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19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19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19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spans="1:19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</row>
    <row r="272" spans="1:19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19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19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19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spans="1:19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</row>
    <row r="277" spans="1:19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</row>
    <row r="278" spans="1:19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</row>
    <row r="279" spans="1:19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</row>
    <row r="280" spans="1:19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</row>
    <row r="281" spans="1:19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</row>
    <row r="282" spans="1:19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</row>
    <row r="283" spans="1:19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</row>
    <row r="284" spans="1:19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</row>
    <row r="285" spans="1:19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</row>
    <row r="286" spans="1:19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</row>
    <row r="287" spans="1:19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</row>
    <row r="288" spans="1:19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</row>
    <row r="289" spans="1:19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</row>
    <row r="290" spans="1:19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</row>
    <row r="291" spans="1:19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</row>
    <row r="292" spans="1:19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</row>
    <row r="293" spans="1:19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</row>
    <row r="294" spans="1:19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</row>
    <row r="295" spans="1:19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</row>
    <row r="296" spans="1:19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</row>
    <row r="297" spans="1:19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</row>
    <row r="298" spans="1:19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</row>
    <row r="299" spans="1:19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</row>
    <row r="300" spans="1:19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</row>
    <row r="301" spans="1:19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</row>
    <row r="302" spans="1:19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</row>
    <row r="303" spans="1:19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</row>
    <row r="304" spans="1:19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</row>
    <row r="305" spans="1:19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</row>
    <row r="306" spans="1:19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</row>
    <row r="307" spans="1:19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</row>
    <row r="308" spans="1:19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</row>
    <row r="309" spans="1:19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</row>
    <row r="310" spans="1:19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</row>
    <row r="311" spans="1:19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</row>
    <row r="312" spans="1:19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</row>
    <row r="313" spans="1:19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</row>
    <row r="314" spans="1:19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</row>
    <row r="315" spans="1:19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</row>
    <row r="316" spans="1:19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</row>
    <row r="317" spans="1:19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</row>
    <row r="318" spans="1:19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</row>
    <row r="319" spans="1:19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</row>
    <row r="320" spans="1:19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</row>
    <row r="321" spans="1:19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</row>
    <row r="322" spans="1:19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</row>
    <row r="323" spans="1:19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</row>
    <row r="324" spans="1:19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</row>
    <row r="325" spans="1:19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</row>
    <row r="326" spans="1:19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</row>
    <row r="327" spans="1:19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</row>
    <row r="328" spans="1:19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</row>
    <row r="329" spans="1:19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</row>
    <row r="330" spans="1:19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</row>
    <row r="331" spans="1:19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</row>
    <row r="332" spans="1:19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</row>
    <row r="333" spans="1:19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</row>
    <row r="334" spans="1:19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</row>
    <row r="335" spans="1:19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</row>
    <row r="336" spans="1:19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</row>
    <row r="337" spans="1:19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</row>
    <row r="338" spans="1:19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</row>
    <row r="339" spans="1:19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</row>
    <row r="340" spans="1:19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</row>
    <row r="341" spans="1:19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</row>
    <row r="342" spans="1:19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</row>
    <row r="343" spans="1:19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</row>
    <row r="344" spans="1:19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</row>
    <row r="345" spans="1:19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</row>
    <row r="346" spans="1:19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</row>
    <row r="347" spans="1:19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</row>
    <row r="348" spans="1:19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</row>
    <row r="349" spans="1:19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</row>
    <row r="350" spans="1:19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</row>
    <row r="351" spans="1:19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</row>
    <row r="352" spans="1:19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</row>
    <row r="353" spans="1:19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</row>
    <row r="354" spans="1:19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</row>
    <row r="355" spans="1:19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</row>
    <row r="356" spans="1:19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</row>
    <row r="357" spans="1:19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</row>
    <row r="358" spans="1:19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</row>
    <row r="359" spans="1:19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</row>
    <row r="360" spans="1:19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</row>
    <row r="361" spans="1:19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</row>
    <row r="362" spans="1:19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</row>
    <row r="363" spans="1:19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</row>
    <row r="364" spans="1:19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</row>
    <row r="365" spans="1:19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</row>
    <row r="366" spans="1:19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</row>
    <row r="367" spans="1:19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</row>
    <row r="368" spans="1:19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</row>
    <row r="369" spans="1:19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</row>
    <row r="370" spans="1:19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</row>
    <row r="371" spans="1:19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</row>
    <row r="372" spans="1:19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</row>
    <row r="373" spans="1:19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</row>
    <row r="374" spans="1:19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</row>
    <row r="375" spans="1:19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</row>
    <row r="376" spans="1:19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</row>
    <row r="377" spans="1:19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</row>
    <row r="378" spans="1:19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</row>
    <row r="379" spans="1:19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</row>
    <row r="380" spans="1:19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</row>
    <row r="381" spans="1:19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</row>
    <row r="382" spans="1:19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</row>
    <row r="383" spans="1:19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</row>
    <row r="384" spans="1:19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</row>
    <row r="385" spans="1:19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</row>
    <row r="386" spans="1:19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</row>
    <row r="387" spans="1:19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</row>
    <row r="388" spans="1:19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</row>
    <row r="389" spans="1:19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</row>
    <row r="390" spans="1:19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</row>
    <row r="391" spans="1:19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</row>
    <row r="392" spans="1:19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</row>
    <row r="393" spans="1:19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</row>
    <row r="394" spans="1:19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</row>
    <row r="395" spans="1:19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</row>
    <row r="396" spans="1:19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</row>
    <row r="397" spans="1:19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</row>
    <row r="398" spans="1:19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</row>
    <row r="399" spans="1:19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</row>
    <row r="400" spans="1:19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</row>
    <row r="401" spans="1:19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</row>
    <row r="402" spans="1:19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</row>
    <row r="403" spans="1:19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</row>
    <row r="404" spans="1:19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</row>
    <row r="405" spans="1:19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</row>
    <row r="406" spans="1:19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</row>
    <row r="407" spans="1:19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</row>
    <row r="408" spans="1:19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</row>
    <row r="409" spans="1:19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</row>
    <row r="410" spans="1:19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</row>
    <row r="411" spans="1:19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</row>
    <row r="412" spans="1:19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</row>
    <row r="413" spans="1:19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</row>
    <row r="414" spans="1:19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</row>
    <row r="415" spans="1:19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</row>
    <row r="416" spans="1:19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</row>
    <row r="417" spans="1:19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</row>
    <row r="418" spans="1:19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</row>
    <row r="419" spans="1:19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</row>
    <row r="420" spans="1:19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</row>
    <row r="421" spans="1:19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</row>
    <row r="422" spans="1:19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</row>
    <row r="423" spans="1:19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</row>
    <row r="424" spans="1:19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</row>
    <row r="425" spans="1:19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</row>
    <row r="426" spans="1:19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</row>
    <row r="427" spans="1:19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</row>
    <row r="428" spans="1:19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</row>
    <row r="429" spans="1:19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</row>
    <row r="430" spans="1:19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</row>
    <row r="431" spans="1:19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</row>
    <row r="432" spans="1:19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</row>
    <row r="433" spans="1:19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</row>
    <row r="434" spans="1:19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</row>
    <row r="435" spans="1:19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</row>
    <row r="436" spans="1:19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</row>
    <row r="437" spans="1:19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</row>
    <row r="438" spans="1:19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</row>
    <row r="439" spans="1:19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</row>
    <row r="440" spans="1:19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</row>
    <row r="441" spans="1:19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</row>
    <row r="442" spans="1:19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</row>
    <row r="443" spans="1:19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</row>
    <row r="444" spans="1:19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</row>
    <row r="445" spans="1:19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</row>
    <row r="446" spans="1:19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</row>
    <row r="447" spans="1:19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</row>
    <row r="448" spans="1:19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</row>
    <row r="449" spans="1:19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</row>
    <row r="450" spans="1:19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</row>
    <row r="451" spans="1:19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</row>
    <row r="452" spans="1:19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</row>
    <row r="453" spans="1:19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</row>
    <row r="454" spans="1:19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</row>
    <row r="455" spans="1:19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</row>
    <row r="456" spans="1:19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</row>
    <row r="457" spans="1:19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</row>
    <row r="458" spans="1:19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</row>
    <row r="459" spans="1:19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</row>
    <row r="460" spans="1:19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</row>
    <row r="461" spans="1:19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</row>
    <row r="462" spans="1:19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</row>
    <row r="463" spans="1:19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</row>
    <row r="464" spans="1:19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</row>
    <row r="465" spans="1:19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</row>
    <row r="466" spans="1:19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</row>
    <row r="467" spans="1:19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</row>
    <row r="468" spans="1:19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</row>
    <row r="469" spans="1:19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</row>
    <row r="470" spans="1:19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</row>
    <row r="471" spans="1:19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</row>
    <row r="472" spans="1:19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</row>
    <row r="473" spans="1:19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</row>
    <row r="474" spans="1:19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</row>
    <row r="475" spans="1:19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</row>
    <row r="476" spans="1:19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</row>
    <row r="477" spans="1:19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</row>
    <row r="478" spans="1:19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</row>
    <row r="479" spans="1:19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</row>
    <row r="480" spans="1:19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</row>
    <row r="481" spans="1:19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</row>
    <row r="482" spans="1:19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</row>
    <row r="483" spans="1:19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</row>
    <row r="484" spans="1:19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</row>
    <row r="485" spans="1:19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</row>
    <row r="486" spans="1:19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</row>
    <row r="487" spans="1:19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</row>
    <row r="488" spans="1:19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</row>
    <row r="489" spans="1:19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</row>
    <row r="490" spans="1:19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</row>
    <row r="491" spans="1:19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</row>
    <row r="492" spans="1:19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</row>
    <row r="493" spans="1:19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</row>
    <row r="494" spans="1:19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</row>
    <row r="495" spans="1:19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</row>
    <row r="496" spans="1:19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</row>
    <row r="497" spans="1:19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</row>
    <row r="498" spans="1:19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</row>
    <row r="499" spans="1:19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</row>
    <row r="500" spans="1:19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</row>
    <row r="501" spans="1:19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</row>
    <row r="502" spans="1:19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</row>
    <row r="503" spans="1:19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</row>
    <row r="504" spans="1:19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</row>
    <row r="505" spans="1:19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</row>
    <row r="506" spans="1:19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</row>
    <row r="507" spans="1:19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</row>
    <row r="508" spans="1:19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</row>
    <row r="509" spans="1:19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</row>
    <row r="510" spans="1:19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</row>
    <row r="511" spans="1:19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</row>
    <row r="512" spans="1:19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</row>
    <row r="513" spans="1:19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</row>
    <row r="514" spans="1:19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</row>
    <row r="515" spans="1:19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</row>
    <row r="516" spans="1:19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</row>
    <row r="517" spans="1:19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</row>
    <row r="518" spans="1:19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</row>
    <row r="519" spans="1:19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</row>
    <row r="520" spans="1:19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</row>
    <row r="521" spans="1:19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</row>
    <row r="522" spans="1:19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</row>
    <row r="523" spans="1:19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</row>
    <row r="524" spans="1:19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</row>
    <row r="525" spans="1:19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</row>
    <row r="526" spans="1:19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</row>
    <row r="527" spans="1:19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</row>
    <row r="528" spans="1:19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</row>
    <row r="529" spans="1:19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</row>
    <row r="530" spans="1:19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</row>
    <row r="531" spans="1:19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</row>
    <row r="532" spans="1:19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</row>
    <row r="533" spans="1:19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</row>
    <row r="534" spans="1:19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</row>
    <row r="535" spans="1:19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</row>
    <row r="536" spans="1:19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</row>
    <row r="537" spans="1:19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</row>
    <row r="538" spans="1:19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</row>
    <row r="539" spans="1:19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</row>
    <row r="540" spans="1:19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</row>
    <row r="541" spans="1:19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</row>
    <row r="542" spans="1:19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</row>
    <row r="543" spans="1:19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</row>
    <row r="544" spans="1:19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</row>
    <row r="545" spans="1:19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</row>
    <row r="546" spans="1:19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</row>
    <row r="547" spans="1:19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</row>
    <row r="548" spans="1:19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</row>
    <row r="549" spans="1:19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</row>
    <row r="550" spans="1:19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</row>
    <row r="551" spans="1:19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</row>
    <row r="552" spans="1:19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</row>
    <row r="553" spans="1:19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</row>
    <row r="554" spans="1:19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</row>
    <row r="555" spans="1:19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</row>
    <row r="556" spans="1:19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</row>
    <row r="557" spans="1:19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</row>
    <row r="558" spans="1:19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</row>
    <row r="559" spans="1:19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</row>
    <row r="560" spans="1:19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</row>
    <row r="561" spans="1:19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</row>
    <row r="562" spans="1:19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</row>
    <row r="563" spans="1:19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</row>
    <row r="564" spans="1:19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</row>
    <row r="565" spans="1:19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</row>
    <row r="566" spans="1:19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</row>
    <row r="567" spans="1:19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</row>
    <row r="568" spans="1:19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</row>
    <row r="569" spans="1:19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</row>
    <row r="570" spans="1:19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</row>
    <row r="571" spans="1:19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</row>
    <row r="572" spans="1:19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</row>
    <row r="573" spans="1:19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</row>
    <row r="574" spans="1:19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</row>
    <row r="575" spans="1:19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</row>
    <row r="576" spans="1:19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</row>
    <row r="577" spans="1:19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</row>
    <row r="578" spans="1:19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</row>
    <row r="579" spans="1:19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</row>
    <row r="580" spans="1:19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</row>
    <row r="581" spans="1:19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</row>
    <row r="582" spans="1:19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</row>
    <row r="583" spans="1:19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</row>
    <row r="584" spans="1:19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</row>
    <row r="585" spans="1:19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</row>
    <row r="586" spans="1:19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</row>
    <row r="587" spans="1:19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</row>
    <row r="588" spans="1:19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</row>
    <row r="589" spans="1:19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</row>
    <row r="590" spans="1:19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</row>
    <row r="591" spans="1:19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</row>
    <row r="592" spans="1:19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</row>
    <row r="593" spans="1:19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</row>
    <row r="594" spans="1:19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</row>
    <row r="595" spans="1:19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</row>
    <row r="596" spans="1:19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</row>
    <row r="597" spans="1:19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</row>
    <row r="598" spans="1:19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</row>
    <row r="599" spans="1:19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</row>
    <row r="600" spans="1:19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</row>
    <row r="601" spans="1:19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</row>
    <row r="602" spans="1:19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</row>
    <row r="603" spans="1:19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</row>
    <row r="604" spans="1:19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</row>
    <row r="605" spans="1:19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</row>
    <row r="606" spans="1:19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</row>
    <row r="607" spans="1:19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</row>
    <row r="608" spans="1:19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</row>
    <row r="609" spans="1:19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</row>
    <row r="610" spans="1:19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</row>
    <row r="611" spans="1:19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</row>
    <row r="612" spans="1:19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</row>
    <row r="613" spans="1:19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</row>
    <row r="614" spans="1:19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</row>
    <row r="615" spans="1:19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</row>
    <row r="616" spans="1:19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</row>
    <row r="617" spans="1:19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</row>
    <row r="618" spans="1:19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</row>
    <row r="619" spans="1:19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</row>
    <row r="620" spans="1:19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</row>
    <row r="621" spans="1:19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</row>
    <row r="622" spans="1:19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</row>
    <row r="623" spans="1:19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</row>
    <row r="624" spans="1:19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</row>
    <row r="625" spans="1:19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</row>
    <row r="626" spans="1:19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</row>
    <row r="627" spans="1:19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</row>
    <row r="628" spans="1:19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</row>
    <row r="629" spans="1:19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</row>
    <row r="630" spans="1:19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</row>
    <row r="631" spans="1:19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</row>
    <row r="632" spans="1:19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</row>
    <row r="633" spans="1:19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</row>
    <row r="634" spans="1:19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</row>
    <row r="635" spans="1:19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</row>
    <row r="636" spans="1:19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</row>
    <row r="637" spans="1:19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</row>
    <row r="638" spans="1:19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</row>
    <row r="639" spans="1:19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</row>
    <row r="640" spans="1:19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</row>
    <row r="641" spans="1:19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</row>
    <row r="642" spans="1:19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</row>
    <row r="643" spans="1:19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</row>
    <row r="644" spans="1:19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</row>
    <row r="645" spans="1:19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</row>
    <row r="646" spans="1:19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</row>
    <row r="647" spans="1:19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</row>
    <row r="648" spans="1:19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</row>
    <row r="649" spans="1:19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</row>
    <row r="650" spans="1:19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</row>
    <row r="651" spans="1:19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</row>
    <row r="652" spans="1:19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</row>
    <row r="653" spans="1:19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</row>
    <row r="654" spans="1:19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</row>
    <row r="655" spans="1:19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</row>
    <row r="656" spans="1:19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</row>
    <row r="657" spans="1:19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</row>
    <row r="658" spans="1:19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</row>
    <row r="659" spans="1:19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</row>
    <row r="660" spans="1:19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</row>
    <row r="661" spans="1:19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</row>
    <row r="662" spans="1:19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</row>
    <row r="663" spans="1:19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</row>
    <row r="664" spans="1:19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</row>
    <row r="665" spans="1:19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</row>
    <row r="666" spans="1:19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</row>
    <row r="667" spans="1:19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</row>
    <row r="668" spans="1:19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</row>
    <row r="669" spans="1:19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</row>
    <row r="670" spans="1:19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</row>
    <row r="671" spans="1:19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</row>
    <row r="672" spans="1:19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</row>
    <row r="673" spans="1:19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</row>
    <row r="674" spans="1:19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</row>
    <row r="675" spans="1:19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</row>
    <row r="676" spans="1:19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</row>
    <row r="677" spans="1:19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</row>
    <row r="678" spans="1:19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</row>
    <row r="679" spans="1:19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</row>
    <row r="680" spans="1:19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</row>
    <row r="681" spans="1:19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</row>
    <row r="682" spans="1:19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</row>
    <row r="683" spans="1:19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</row>
    <row r="684" spans="1:19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</row>
    <row r="685" spans="1:19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</row>
    <row r="686" spans="1:19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</row>
    <row r="687" spans="1:19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</row>
    <row r="688" spans="1:19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</row>
    <row r="689" spans="1:19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</row>
    <row r="690" spans="1:19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</row>
    <row r="691" spans="1:19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</row>
    <row r="692" spans="1:19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</row>
    <row r="693" spans="1:19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</row>
    <row r="694" spans="1:19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</row>
    <row r="695" spans="1:19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</row>
    <row r="696" spans="1:19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</row>
    <row r="697" spans="1:19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</row>
    <row r="698" spans="1:19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</row>
    <row r="699" spans="1:19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</row>
    <row r="700" spans="1:19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</row>
    <row r="701" spans="1:19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</row>
    <row r="702" spans="1:19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</row>
    <row r="703" spans="1:19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</row>
    <row r="704" spans="1:19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</row>
    <row r="705" spans="1:19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</row>
    <row r="706" spans="1:19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</row>
    <row r="707" spans="1:19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</row>
    <row r="708" spans="1:19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</row>
    <row r="709" spans="1:19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</row>
    <row r="710" spans="1:19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</row>
    <row r="711" spans="1:19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</row>
    <row r="712" spans="1:19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</row>
    <row r="713" spans="1:19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</row>
    <row r="714" spans="1:19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</row>
    <row r="715" spans="1:19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</row>
    <row r="716" spans="1:19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</row>
    <row r="717" spans="1:19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</row>
    <row r="718" spans="1:19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</row>
    <row r="719" spans="1:19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</row>
    <row r="720" spans="1:19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</row>
    <row r="721" spans="1:19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</row>
    <row r="722" spans="1:19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</row>
    <row r="723" spans="1:19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</row>
    <row r="724" spans="1:19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</row>
    <row r="725" spans="1:19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</row>
    <row r="726" spans="1:19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</row>
    <row r="727" spans="1:19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</row>
    <row r="728" spans="1:19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</row>
    <row r="729" spans="1:19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</row>
    <row r="730" spans="1:19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</row>
    <row r="731" spans="1:19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</row>
    <row r="732" spans="1:19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</row>
    <row r="733" spans="1:19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</row>
    <row r="734" spans="1:19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</row>
    <row r="735" spans="1:19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</row>
    <row r="736" spans="1:19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</row>
    <row r="737" spans="1:19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</row>
    <row r="738" spans="1:19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</row>
    <row r="739" spans="1:19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</row>
    <row r="740" spans="1:19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</row>
    <row r="741" spans="1:19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</row>
    <row r="742" spans="1:19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</row>
    <row r="743" spans="1:19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</row>
    <row r="744" spans="1:19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</row>
    <row r="745" spans="1:19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</row>
    <row r="746" spans="1:19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</row>
    <row r="747" spans="1:19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</row>
    <row r="748" spans="1:19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</row>
    <row r="749" spans="1:19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</row>
    <row r="750" spans="1:19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</row>
    <row r="751" spans="1:19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</row>
    <row r="752" spans="1:19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</row>
    <row r="753" spans="1:19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</row>
    <row r="754" spans="1:19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</row>
    <row r="755" spans="1:19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</row>
    <row r="756" spans="1:19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</row>
    <row r="757" spans="1:19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</row>
    <row r="758" spans="1:19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</row>
    <row r="759" spans="1:19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</row>
    <row r="760" spans="1:19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</row>
    <row r="761" spans="1:19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</row>
    <row r="762" spans="1:19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</row>
    <row r="763" spans="1:19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</row>
    <row r="764" spans="1:19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</row>
    <row r="765" spans="1:19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</row>
    <row r="766" spans="1:19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</row>
    <row r="767" spans="1:19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</row>
    <row r="768" spans="1:19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</row>
    <row r="769" spans="1:19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</row>
    <row r="770" spans="1:19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</row>
    <row r="771" spans="1:19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</row>
    <row r="772" spans="1:19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</row>
    <row r="773" spans="1:19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</row>
    <row r="774" spans="1:19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</row>
    <row r="775" spans="1:19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</row>
    <row r="776" spans="1:19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</row>
    <row r="777" spans="1:19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</row>
    <row r="778" spans="1:19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</row>
    <row r="779" spans="1:19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</row>
    <row r="780" spans="1:19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</row>
    <row r="781" spans="1:19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</row>
    <row r="782" spans="1:19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</row>
    <row r="783" spans="1:19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</row>
    <row r="784" spans="1:19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</row>
    <row r="785" spans="1:19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</row>
    <row r="786" spans="1:19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</row>
    <row r="787" spans="1:19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</row>
    <row r="788" spans="1:19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</row>
    <row r="789" spans="1:19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</row>
    <row r="790" spans="1:19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</row>
    <row r="791" spans="1:19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</row>
    <row r="792" spans="1:19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</row>
    <row r="793" spans="1:19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</row>
    <row r="794" spans="1:19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</row>
    <row r="795" spans="1:19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</row>
    <row r="796" spans="1:19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</row>
    <row r="797" spans="1:19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</row>
    <row r="798" spans="1:19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</row>
    <row r="799" spans="1:19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</row>
    <row r="800" spans="1:19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</row>
    <row r="801" spans="1:19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</row>
    <row r="802" spans="1:19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</row>
    <row r="803" spans="1:19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</row>
    <row r="804" spans="1:19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</row>
    <row r="805" spans="1:19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</row>
    <row r="806" spans="1:19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</row>
    <row r="807" spans="1:19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</row>
    <row r="808" spans="1:19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</row>
    <row r="809" spans="1:19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</row>
    <row r="810" spans="1:19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</row>
    <row r="811" spans="1:19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</row>
    <row r="812" spans="1:19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</row>
    <row r="813" spans="1:19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</row>
    <row r="814" spans="1:19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</row>
    <row r="815" spans="1:19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</row>
    <row r="816" spans="1:19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</row>
    <row r="817" spans="1:19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</row>
    <row r="818" spans="1:19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</row>
    <row r="819" spans="1:19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</row>
    <row r="820" spans="1:19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</row>
    <row r="821" spans="1:19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</row>
    <row r="822" spans="1:19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</row>
    <row r="823" spans="1:19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</row>
    <row r="824" spans="1:19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</row>
    <row r="825" spans="1:19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</row>
    <row r="826" spans="1:19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</row>
    <row r="827" spans="1:19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</row>
    <row r="828" spans="1:19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</row>
    <row r="829" spans="1:19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</row>
    <row r="830" spans="1:19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</row>
    <row r="831" spans="1:19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</row>
    <row r="832" spans="1:19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</row>
    <row r="833" spans="1:19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</row>
    <row r="834" spans="1:19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</row>
    <row r="835" spans="1:19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</row>
    <row r="836" spans="1:19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</row>
    <row r="837" spans="1:19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</row>
    <row r="838" spans="1:19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</row>
    <row r="839" spans="1:19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</row>
    <row r="840" spans="1:19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</row>
    <row r="841" spans="1:19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</row>
    <row r="842" spans="1:19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</row>
    <row r="843" spans="1:19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</row>
    <row r="844" spans="1:19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</row>
    <row r="845" spans="1:19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</row>
    <row r="846" spans="1:19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</row>
    <row r="847" spans="1:19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</row>
    <row r="848" spans="1:19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</row>
    <row r="849" spans="1:19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</row>
    <row r="850" spans="1:19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</row>
    <row r="851" spans="1:19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</row>
    <row r="852" spans="1:19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</row>
    <row r="853" spans="1:19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</row>
    <row r="854" spans="1:19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</row>
    <row r="855" spans="1:19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</row>
    <row r="856" spans="1:19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</row>
    <row r="857" spans="1:19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</row>
    <row r="858" spans="1:19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</row>
    <row r="859" spans="1:19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</row>
    <row r="860" spans="1:19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</row>
    <row r="861" spans="1:19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</row>
    <row r="862" spans="1:19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</row>
    <row r="863" spans="1:19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</row>
    <row r="864" spans="1:19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</row>
    <row r="865" spans="1:19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</row>
    <row r="866" spans="1:19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</row>
    <row r="867" spans="1:19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</row>
    <row r="868" spans="1:19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</row>
    <row r="869" spans="1:19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</row>
    <row r="870" spans="1:19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</row>
    <row r="871" spans="1:19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</row>
    <row r="872" spans="1:19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</row>
    <row r="873" spans="1:19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</row>
    <row r="874" spans="1:19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</row>
    <row r="875" spans="1:19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</row>
    <row r="876" spans="1:19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</row>
    <row r="877" spans="1:19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</row>
    <row r="878" spans="1:19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</row>
    <row r="879" spans="1:19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</row>
    <row r="880" spans="1:19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</row>
    <row r="881" spans="1:19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</row>
    <row r="882" spans="1:19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</row>
    <row r="883" spans="1:19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</row>
    <row r="884" spans="1:19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</row>
    <row r="885" spans="1:19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</row>
    <row r="886" spans="1:19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</row>
    <row r="887" spans="1:19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</row>
    <row r="888" spans="1:19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</row>
    <row r="889" spans="1:19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</row>
    <row r="890" spans="1:19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</row>
    <row r="891" spans="1:19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</row>
    <row r="892" spans="1:19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</row>
    <row r="893" spans="1:19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</row>
    <row r="894" spans="1:19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</row>
    <row r="895" spans="1:19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</row>
    <row r="896" spans="1:19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</row>
    <row r="897" spans="1:19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</row>
    <row r="898" spans="1:19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</row>
    <row r="899" spans="1:19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</row>
    <row r="900" spans="1:19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</row>
    <row r="901" spans="1:19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</row>
    <row r="902" spans="1:19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</row>
    <row r="903" spans="1:19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</row>
    <row r="904" spans="1:19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</row>
    <row r="905" spans="1:19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</row>
    <row r="906" spans="1:19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</row>
    <row r="907" spans="1:19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</row>
    <row r="908" spans="1:19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</row>
    <row r="909" spans="1:19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</row>
    <row r="910" spans="1:19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</row>
    <row r="911" spans="1:19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</row>
    <row r="912" spans="1:19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</row>
    <row r="913" spans="1:19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</row>
    <row r="914" spans="1:19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</row>
    <row r="915" spans="1:19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</row>
    <row r="916" spans="1:19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</row>
    <row r="917" spans="1:19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</row>
    <row r="918" spans="1:19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</row>
    <row r="919" spans="1:19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</row>
    <row r="920" spans="1:19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</row>
    <row r="921" spans="1:19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</row>
    <row r="922" spans="1:19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</row>
    <row r="923" spans="1:19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</row>
    <row r="924" spans="1:19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</row>
    <row r="925" spans="1:19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</row>
    <row r="926" spans="1:19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</row>
    <row r="927" spans="1:19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</row>
    <row r="928" spans="1:19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</row>
    <row r="929" spans="1:19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</row>
    <row r="930" spans="1:19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</row>
    <row r="931" spans="1:19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</row>
    <row r="932" spans="1:19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</row>
    <row r="933" spans="1:19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</row>
    <row r="934" spans="1:19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</row>
    <row r="935" spans="1:19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</row>
    <row r="936" spans="1:19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</row>
    <row r="937" spans="1:19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</row>
    <row r="938" spans="1:19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</row>
    <row r="939" spans="1:19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</row>
    <row r="940" spans="1:19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</row>
    <row r="941" spans="1:19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</row>
    <row r="942" spans="1:19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</row>
    <row r="943" spans="1:19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</row>
    <row r="944" spans="1:19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</row>
    <row r="945" spans="1:19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</row>
    <row r="946" spans="1:19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</row>
    <row r="947" spans="1:19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</row>
    <row r="948" spans="1:19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</row>
    <row r="949" spans="1:19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</row>
    <row r="950" spans="1:19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</row>
    <row r="951" spans="1:19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</row>
    <row r="952" spans="1:19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</row>
    <row r="953" spans="1:19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</row>
    <row r="954" spans="1:19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</row>
    <row r="955" spans="1:19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</row>
    <row r="956" spans="1:19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</row>
    <row r="957" spans="1:19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</row>
    <row r="958" spans="1:19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</row>
    <row r="959" spans="1:19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</row>
    <row r="960" spans="1:19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</row>
    <row r="961" spans="1:19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</row>
    <row r="962" spans="1:19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</row>
    <row r="963" spans="1:19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</row>
    <row r="964" spans="1:19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</row>
    <row r="965" spans="1:19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</row>
    <row r="966" spans="1:19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</row>
    <row r="967" spans="1:19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</row>
    <row r="968" spans="1:19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</row>
    <row r="969" spans="1:19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</row>
    <row r="970" spans="1:19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</row>
    <row r="971" spans="1:19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</row>
    <row r="972" spans="1:19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</row>
    <row r="973" spans="1:19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</row>
    <row r="974" spans="1:19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</row>
    <row r="975" spans="1:19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</row>
    <row r="976" spans="1:19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</row>
    <row r="977" spans="1:19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</row>
    <row r="978" spans="1:19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</row>
    <row r="979" spans="1:19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</row>
    <row r="980" spans="1:19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</row>
    <row r="981" spans="1:19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</row>
    <row r="982" spans="1:19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</row>
    <row r="983" spans="1:19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</row>
    <row r="984" spans="1:19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</row>
    <row r="985" spans="1:19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</row>
    <row r="986" spans="1:19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</row>
    <row r="987" spans="1:19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</row>
    <row r="988" spans="1:19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</row>
    <row r="989" spans="1:19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</row>
    <row r="990" spans="1:19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</row>
    <row r="991" spans="1:19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</row>
    <row r="992" spans="1:19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</row>
    <row r="993" spans="1:19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</row>
    <row r="994" spans="1:19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</row>
    <row r="995" spans="1:19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</row>
    <row r="996" spans="1:19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</row>
    <row r="997" spans="1:19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</row>
    <row r="998" spans="1:19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</row>
    <row r="999" spans="1:19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</row>
  </sheetData>
  <mergeCells count="21">
    <mergeCell ref="F2:F3"/>
    <mergeCell ref="G2:G3"/>
    <mergeCell ref="H2:H3"/>
    <mergeCell ref="I2:I3"/>
    <mergeCell ref="J2:J3"/>
    <mergeCell ref="P2:P3"/>
    <mergeCell ref="Q2:Q3"/>
    <mergeCell ref="R2:R3"/>
    <mergeCell ref="S2:S3"/>
    <mergeCell ref="A1:O1"/>
    <mergeCell ref="P1:S1"/>
    <mergeCell ref="A2:A3"/>
    <mergeCell ref="B2:B3"/>
    <mergeCell ref="C2:C3"/>
    <mergeCell ref="D2:D3"/>
    <mergeCell ref="E2:E3"/>
    <mergeCell ref="K2:K3"/>
    <mergeCell ref="L2:L3"/>
    <mergeCell ref="M2:M3"/>
    <mergeCell ref="N2:N3"/>
    <mergeCell ref="O2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"/>
  <sheetViews>
    <sheetView workbookViewId="0">
      <selection activeCell="J8" sqref="J8"/>
    </sheetView>
  </sheetViews>
  <sheetFormatPr defaultColWidth="14.42578125" defaultRowHeight="15" customHeight="1" x14ac:dyDescent="0.25"/>
  <cols>
    <col min="2" max="5" width="16.28515625" customWidth="1"/>
    <col min="6" max="6" width="59.7109375" customWidth="1"/>
  </cols>
  <sheetData>
    <row r="1" spans="1:12" x14ac:dyDescent="0.25">
      <c r="A1" s="16" t="s">
        <v>23</v>
      </c>
      <c r="B1" s="17" t="s">
        <v>43</v>
      </c>
      <c r="C1" s="17" t="s">
        <v>44</v>
      </c>
      <c r="D1" s="17" t="s">
        <v>45</v>
      </c>
      <c r="E1" s="17" t="s">
        <v>46</v>
      </c>
      <c r="F1" s="16" t="s">
        <v>47</v>
      </c>
      <c r="G1" s="16" t="s">
        <v>48</v>
      </c>
    </row>
    <row r="2" spans="1:12" x14ac:dyDescent="0.25">
      <c r="A2" s="2">
        <v>46000</v>
      </c>
      <c r="B2" s="18">
        <v>113128.98</v>
      </c>
      <c r="C2" s="18"/>
      <c r="D2" s="18"/>
      <c r="E2" s="18">
        <f t="shared" ref="E2:E20" si="0">B2+C2+D2</f>
        <v>113128.98</v>
      </c>
      <c r="F2" s="19" t="s">
        <v>49</v>
      </c>
      <c r="G2" s="19"/>
    </row>
    <row r="3" spans="1:12" x14ac:dyDescent="0.25">
      <c r="A3" s="2">
        <v>46002</v>
      </c>
      <c r="B3" s="18">
        <v>9003.74</v>
      </c>
      <c r="C3" s="18"/>
      <c r="D3" s="18"/>
      <c r="E3" s="18">
        <f t="shared" si="0"/>
        <v>9003.74</v>
      </c>
      <c r="F3" s="19" t="s">
        <v>49</v>
      </c>
      <c r="G3" s="19"/>
    </row>
    <row r="4" spans="1:12" x14ac:dyDescent="0.25">
      <c r="A4" s="2">
        <v>46006</v>
      </c>
      <c r="B4" s="18">
        <v>25355.55</v>
      </c>
      <c r="C4" s="18"/>
      <c r="D4" s="18"/>
      <c r="E4" s="18">
        <f t="shared" si="0"/>
        <v>25355.55</v>
      </c>
      <c r="F4" s="19" t="s">
        <v>49</v>
      </c>
      <c r="G4" s="19"/>
    </row>
    <row r="5" spans="1:12" x14ac:dyDescent="0.25">
      <c r="A5" s="2">
        <v>46009</v>
      </c>
      <c r="B5" s="18">
        <v>13671.28</v>
      </c>
      <c r="C5" s="18"/>
      <c r="D5" s="18"/>
      <c r="E5" s="18">
        <f t="shared" si="0"/>
        <v>13671.28</v>
      </c>
      <c r="F5" s="19" t="s">
        <v>49</v>
      </c>
      <c r="G5" s="19"/>
    </row>
    <row r="6" spans="1:12" x14ac:dyDescent="0.25">
      <c r="A6" s="2">
        <v>46013</v>
      </c>
      <c r="B6" s="18">
        <v>25065.64</v>
      </c>
      <c r="C6" s="20"/>
      <c r="D6" s="20"/>
      <c r="E6" s="18">
        <f t="shared" si="0"/>
        <v>25065.64</v>
      </c>
      <c r="F6" s="19" t="s">
        <v>49</v>
      </c>
      <c r="G6" s="19"/>
    </row>
    <row r="7" spans="1:12" x14ac:dyDescent="0.25">
      <c r="A7" s="101"/>
      <c r="B7" s="20"/>
      <c r="C7" s="18"/>
      <c r="D7" s="18"/>
      <c r="E7" s="18">
        <f t="shared" si="0"/>
        <v>0</v>
      </c>
      <c r="F7" s="19"/>
      <c r="G7" s="19"/>
    </row>
    <row r="8" spans="1:12" x14ac:dyDescent="0.25">
      <c r="A8" s="101"/>
      <c r="B8" s="18"/>
      <c r="C8" s="18"/>
      <c r="D8" s="18"/>
      <c r="E8" s="18">
        <f t="shared" si="0"/>
        <v>0</v>
      </c>
      <c r="F8" s="19"/>
      <c r="G8" s="19"/>
      <c r="J8" s="10"/>
    </row>
    <row r="9" spans="1:12" x14ac:dyDescent="0.25">
      <c r="A9" s="101"/>
      <c r="B9" s="18"/>
      <c r="C9" s="18"/>
      <c r="D9" s="18"/>
      <c r="E9" s="18">
        <f t="shared" si="0"/>
        <v>0</v>
      </c>
      <c r="F9" s="19"/>
      <c r="G9" s="19"/>
    </row>
    <row r="10" spans="1:12" x14ac:dyDescent="0.25">
      <c r="A10" s="101"/>
      <c r="B10" s="18"/>
      <c r="C10" s="18"/>
      <c r="D10" s="18"/>
      <c r="E10" s="18">
        <f t="shared" si="0"/>
        <v>0</v>
      </c>
      <c r="F10" s="19"/>
      <c r="G10" s="19"/>
    </row>
    <row r="11" spans="1:12" x14ac:dyDescent="0.25">
      <c r="A11" s="101"/>
      <c r="B11" s="18"/>
      <c r="C11" s="18"/>
      <c r="D11" s="18"/>
      <c r="E11" s="18">
        <f t="shared" si="0"/>
        <v>0</v>
      </c>
      <c r="F11" s="19"/>
      <c r="G11" s="19"/>
    </row>
    <row r="12" spans="1:12" x14ac:dyDescent="0.25">
      <c r="A12" s="101"/>
      <c r="B12" s="18"/>
      <c r="C12" s="18"/>
      <c r="D12" s="18"/>
      <c r="E12" s="18">
        <f t="shared" si="0"/>
        <v>0</v>
      </c>
      <c r="F12" s="19"/>
      <c r="G12" s="19"/>
    </row>
    <row r="13" spans="1:12" x14ac:dyDescent="0.25">
      <c r="A13" s="101"/>
      <c r="B13" s="18"/>
      <c r="C13" s="18"/>
      <c r="D13" s="18"/>
      <c r="E13" s="18">
        <f t="shared" si="0"/>
        <v>0</v>
      </c>
      <c r="F13" s="19"/>
      <c r="G13" s="19"/>
    </row>
    <row r="14" spans="1:12" x14ac:dyDescent="0.25">
      <c r="A14" s="101"/>
      <c r="B14" s="18"/>
      <c r="C14" s="18"/>
      <c r="D14" s="18"/>
      <c r="E14" s="18">
        <f t="shared" si="0"/>
        <v>0</v>
      </c>
      <c r="F14" s="19"/>
      <c r="G14" s="19"/>
    </row>
    <row r="15" spans="1:12" x14ac:dyDescent="0.25">
      <c r="A15" s="101"/>
      <c r="B15" s="18"/>
      <c r="C15" s="18"/>
      <c r="D15" s="18"/>
      <c r="E15" s="18">
        <f t="shared" si="0"/>
        <v>0</v>
      </c>
      <c r="F15" s="19"/>
      <c r="G15" s="19"/>
    </row>
    <row r="16" spans="1:12" x14ac:dyDescent="0.25">
      <c r="A16" s="101"/>
      <c r="B16" s="20"/>
      <c r="C16" s="20"/>
      <c r="D16" s="18"/>
      <c r="E16" s="18">
        <f t="shared" si="0"/>
        <v>0</v>
      </c>
      <c r="F16" s="19"/>
      <c r="G16" s="19"/>
      <c r="L16" s="21"/>
    </row>
    <row r="17" spans="1:9" x14ac:dyDescent="0.25">
      <c r="A17" s="101"/>
      <c r="B17" s="20"/>
      <c r="C17" s="20"/>
      <c r="D17" s="18"/>
      <c r="E17" s="18">
        <f t="shared" si="0"/>
        <v>0</v>
      </c>
      <c r="F17" s="19"/>
      <c r="G17" s="19"/>
    </row>
    <row r="18" spans="1:9" x14ac:dyDescent="0.25">
      <c r="A18" s="102"/>
      <c r="B18" s="18"/>
      <c r="C18" s="18"/>
      <c r="D18" s="18"/>
      <c r="E18" s="18">
        <f t="shared" si="0"/>
        <v>0</v>
      </c>
      <c r="F18" s="19"/>
      <c r="G18" s="19"/>
    </row>
    <row r="19" spans="1:9" x14ac:dyDescent="0.25">
      <c r="A19" s="102"/>
      <c r="B19" s="18"/>
      <c r="C19" s="18"/>
      <c r="D19" s="18"/>
      <c r="E19" s="18">
        <f t="shared" si="0"/>
        <v>0</v>
      </c>
      <c r="F19" s="19"/>
      <c r="G19" s="19"/>
    </row>
    <row r="20" spans="1:9" x14ac:dyDescent="0.25">
      <c r="A20" s="102"/>
      <c r="B20" s="18"/>
      <c r="C20" s="18"/>
      <c r="D20" s="18"/>
      <c r="E20" s="18">
        <f t="shared" si="0"/>
        <v>0</v>
      </c>
      <c r="F20" s="19"/>
      <c r="G20" s="19"/>
    </row>
    <row r="21" spans="1:9" x14ac:dyDescent="0.25">
      <c r="A21" s="22">
        <v>7.2024999999999997</v>
      </c>
      <c r="B21" s="23"/>
      <c r="C21" s="24">
        <f t="shared" ref="C21:E21" si="1">SUM(C2:C17)</f>
        <v>0</v>
      </c>
      <c r="D21" s="24">
        <f t="shared" si="1"/>
        <v>0</v>
      </c>
      <c r="E21" s="24">
        <f t="shared" si="1"/>
        <v>186225.19</v>
      </c>
      <c r="F21" s="23"/>
      <c r="G21" s="23"/>
      <c r="I21" s="1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937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outlineLevelRow="1" x14ac:dyDescent="0.25"/>
  <cols>
    <col min="6" max="6" width="18" customWidth="1"/>
  </cols>
  <sheetData>
    <row r="1" spans="1:18" x14ac:dyDescent="0.25">
      <c r="A1" s="80" t="s">
        <v>50</v>
      </c>
      <c r="B1" s="78"/>
      <c r="C1" s="78"/>
      <c r="D1" s="78"/>
      <c r="E1" s="78"/>
      <c r="F1" s="79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25">
      <c r="A2" s="25" t="s">
        <v>51</v>
      </c>
      <c r="B2" s="25" t="s">
        <v>52</v>
      </c>
      <c r="C2" s="25" t="s">
        <v>53</v>
      </c>
      <c r="D2" s="25" t="s">
        <v>54</v>
      </c>
      <c r="E2" s="25" t="s">
        <v>55</v>
      </c>
      <c r="F2" s="25" t="s">
        <v>56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outlineLevel="1" x14ac:dyDescent="0.25">
      <c r="A3" s="26">
        <f>'EUR (S)'!A4</f>
        <v>45901</v>
      </c>
      <c r="B3" s="27">
        <f>'EUR (S)'!E4</f>
        <v>0</v>
      </c>
      <c r="C3" s="26">
        <f>'EUR (S)'!F4</f>
        <v>46081</v>
      </c>
      <c r="D3" s="28"/>
      <c r="E3" s="28"/>
      <c r="F3" s="29">
        <f>B3-D3</f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outlineLevel="1" x14ac:dyDescent="0.25">
      <c r="A4" s="26">
        <f>'EUR (S)'!A5</f>
        <v>45902</v>
      </c>
      <c r="B4" s="27">
        <f>'EUR (S)'!E5</f>
        <v>0</v>
      </c>
      <c r="C4" s="26">
        <f>'EUR (S)'!F5</f>
        <v>46082</v>
      </c>
      <c r="D4" s="12"/>
      <c r="E4" s="12"/>
      <c r="F4" s="29">
        <f t="shared" ref="F4:F32" si="0">B4-D4+F3</f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outlineLevel="1" x14ac:dyDescent="0.25">
      <c r="A5" s="26">
        <f>'EUR (S)'!A6</f>
        <v>45903</v>
      </c>
      <c r="B5" s="27">
        <f>'EUR (S)'!E6</f>
        <v>0</v>
      </c>
      <c r="C5" s="26">
        <f>'EUR (S)'!F6</f>
        <v>46083</v>
      </c>
      <c r="D5" s="12"/>
      <c r="E5" s="12"/>
      <c r="F5" s="29">
        <f t="shared" si="0"/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outlineLevel="1" x14ac:dyDescent="0.25">
      <c r="A6" s="26">
        <f>'EUR (S)'!A7</f>
        <v>45904</v>
      </c>
      <c r="B6" s="27">
        <f>'EUR (S)'!E7</f>
        <v>0</v>
      </c>
      <c r="C6" s="26">
        <f>'EUR (S)'!F7</f>
        <v>46084</v>
      </c>
      <c r="D6" s="12"/>
      <c r="E6" s="12"/>
      <c r="F6" s="29">
        <f t="shared" si="0"/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outlineLevel="1" x14ac:dyDescent="0.25">
      <c r="A7" s="26">
        <f>'EUR (S)'!A8</f>
        <v>45905</v>
      </c>
      <c r="B7" s="27">
        <f>'EUR (S)'!E8</f>
        <v>0</v>
      </c>
      <c r="C7" s="26">
        <f>'EUR (S)'!F8</f>
        <v>46085</v>
      </c>
      <c r="D7" s="12"/>
      <c r="E7" s="12"/>
      <c r="F7" s="29">
        <f t="shared" si="0"/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outlineLevel="1" x14ac:dyDescent="0.25">
      <c r="A8" s="26">
        <f>'EUR (S)'!A9</f>
        <v>45906</v>
      </c>
      <c r="B8" s="27">
        <f>'EUR (S)'!E9</f>
        <v>0</v>
      </c>
      <c r="C8" s="26">
        <f>'EUR (S)'!F9</f>
        <v>46086</v>
      </c>
      <c r="D8" s="12"/>
      <c r="E8" s="12"/>
      <c r="F8" s="29">
        <f t="shared" si="0"/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outlineLevel="1" x14ac:dyDescent="0.25">
      <c r="A9" s="26">
        <f>'EUR (S)'!A10</f>
        <v>45907</v>
      </c>
      <c r="B9" s="27">
        <f>'EUR (S)'!E10</f>
        <v>0</v>
      </c>
      <c r="C9" s="26">
        <f>'EUR (S)'!F10</f>
        <v>46087</v>
      </c>
      <c r="D9" s="12"/>
      <c r="E9" s="12"/>
      <c r="F9" s="29">
        <f t="shared" si="0"/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outlineLevel="1" x14ac:dyDescent="0.25">
      <c r="A10" s="26">
        <f>'EUR (S)'!A11</f>
        <v>45908</v>
      </c>
      <c r="B10" s="27">
        <f>'EUR (S)'!E11</f>
        <v>0</v>
      </c>
      <c r="C10" s="26">
        <f>'EUR (S)'!F11</f>
        <v>46088</v>
      </c>
      <c r="D10" s="12"/>
      <c r="E10" s="12"/>
      <c r="F10" s="29">
        <f t="shared" si="0"/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outlineLevel="1" x14ac:dyDescent="0.25">
      <c r="A11" s="26">
        <f>'EUR (S)'!A12</f>
        <v>45909</v>
      </c>
      <c r="B11" s="27">
        <f>'EUR (S)'!E12</f>
        <v>0</v>
      </c>
      <c r="C11" s="26">
        <f>'EUR (S)'!F12</f>
        <v>46089</v>
      </c>
      <c r="D11" s="12"/>
      <c r="E11" s="12"/>
      <c r="F11" s="29">
        <f t="shared" si="0"/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outlineLevel="1" x14ac:dyDescent="0.25">
      <c r="A12" s="26">
        <f>'EUR (S)'!A13</f>
        <v>45910</v>
      </c>
      <c r="B12" s="27">
        <f>'EUR (S)'!E13</f>
        <v>0.1</v>
      </c>
      <c r="C12" s="26">
        <f>'EUR (S)'!F13</f>
        <v>46090</v>
      </c>
      <c r="D12" s="12"/>
      <c r="E12" s="12"/>
      <c r="F12" s="29">
        <f t="shared" si="0"/>
        <v>0.1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outlineLevel="1" x14ac:dyDescent="0.25">
      <c r="A13" s="26">
        <f>'EUR (S)'!A14</f>
        <v>45911</v>
      </c>
      <c r="B13" s="27">
        <f>'EUR (S)'!E14</f>
        <v>0</v>
      </c>
      <c r="C13" s="26">
        <f>'EUR (S)'!F14</f>
        <v>46091</v>
      </c>
      <c r="D13" s="12"/>
      <c r="E13" s="12"/>
      <c r="F13" s="29">
        <f t="shared" si="0"/>
        <v>0.1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outlineLevel="1" x14ac:dyDescent="0.25">
      <c r="A14" s="26">
        <f>'EUR (S)'!A15</f>
        <v>45912</v>
      </c>
      <c r="B14" s="27">
        <f>'EUR (S)'!E15</f>
        <v>0</v>
      </c>
      <c r="C14" s="26">
        <f>'EUR (S)'!F15</f>
        <v>46092</v>
      </c>
      <c r="D14" s="12"/>
      <c r="E14" s="12"/>
      <c r="F14" s="29">
        <f t="shared" si="0"/>
        <v>0.1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outlineLevel="1" x14ac:dyDescent="0.25">
      <c r="A15" s="26">
        <f>'EUR (S)'!A16</f>
        <v>45913</v>
      </c>
      <c r="B15" s="27">
        <f>'EUR (S)'!E16</f>
        <v>0</v>
      </c>
      <c r="C15" s="26">
        <f>'EUR (S)'!F16</f>
        <v>46093</v>
      </c>
      <c r="D15" s="12"/>
      <c r="E15" s="12"/>
      <c r="F15" s="29">
        <f t="shared" si="0"/>
        <v>0.1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outlineLevel="1" x14ac:dyDescent="0.25">
      <c r="A16" s="26">
        <f>'EUR (S)'!A17</f>
        <v>45914</v>
      </c>
      <c r="B16" s="27">
        <f>'EUR (S)'!E17</f>
        <v>0</v>
      </c>
      <c r="C16" s="26">
        <f>'EUR (S)'!F17</f>
        <v>46094</v>
      </c>
      <c r="D16" s="12"/>
      <c r="E16" s="12"/>
      <c r="F16" s="29">
        <f t="shared" si="0"/>
        <v>0.1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outlineLevel="1" x14ac:dyDescent="0.25">
      <c r="A17" s="26">
        <f>'EUR (S)'!A18</f>
        <v>45915</v>
      </c>
      <c r="B17" s="27">
        <f>'EUR (S)'!E18</f>
        <v>0</v>
      </c>
      <c r="C17" s="26">
        <f>'EUR (S)'!F18</f>
        <v>46095</v>
      </c>
      <c r="D17" s="12"/>
      <c r="E17" s="12"/>
      <c r="F17" s="29">
        <f t="shared" si="0"/>
        <v>0.1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outlineLevel="1" x14ac:dyDescent="0.25">
      <c r="A18" s="26">
        <f>'EUR (S)'!A19</f>
        <v>45916</v>
      </c>
      <c r="B18" s="27">
        <f>'EUR (S)'!E19</f>
        <v>0</v>
      </c>
      <c r="C18" s="26">
        <f>'EUR (S)'!F19</f>
        <v>46096</v>
      </c>
      <c r="D18" s="12"/>
      <c r="E18" s="12"/>
      <c r="F18" s="29">
        <f t="shared" si="0"/>
        <v>0.1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outlineLevel="1" x14ac:dyDescent="0.25">
      <c r="A19" s="26">
        <f>'EUR (S)'!A20</f>
        <v>45917</v>
      </c>
      <c r="B19" s="27">
        <f>'EUR (S)'!E20</f>
        <v>0</v>
      </c>
      <c r="C19" s="26">
        <f>'EUR (S)'!F20</f>
        <v>46097</v>
      </c>
      <c r="D19" s="12"/>
      <c r="E19" s="12"/>
      <c r="F19" s="29">
        <f t="shared" si="0"/>
        <v>0.1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outlineLevel="1" x14ac:dyDescent="0.25">
      <c r="A20" s="26">
        <f>'EUR (S)'!A21</f>
        <v>45918</v>
      </c>
      <c r="B20" s="27">
        <f>'EUR (S)'!E21</f>
        <v>0</v>
      </c>
      <c r="C20" s="26">
        <f>'EUR (S)'!F21</f>
        <v>46098</v>
      </c>
      <c r="D20" s="12"/>
      <c r="E20" s="12"/>
      <c r="F20" s="29">
        <f t="shared" si="0"/>
        <v>0.1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outlineLevel="1" x14ac:dyDescent="0.25">
      <c r="A21" s="26">
        <f>'EUR (S)'!A22</f>
        <v>45919</v>
      </c>
      <c r="B21" s="27">
        <f>'EUR (S)'!E22</f>
        <v>0</v>
      </c>
      <c r="C21" s="26">
        <f>'EUR (S)'!F22</f>
        <v>46099</v>
      </c>
      <c r="D21" s="12"/>
      <c r="E21" s="12"/>
      <c r="F21" s="29">
        <f t="shared" si="0"/>
        <v>0.1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outlineLevel="1" x14ac:dyDescent="0.25">
      <c r="A22" s="26">
        <f>'EUR (S)'!A23</f>
        <v>45920</v>
      </c>
      <c r="B22" s="27">
        <f>'EUR (S)'!E23</f>
        <v>0</v>
      </c>
      <c r="C22" s="26">
        <f>'EUR (S)'!F23</f>
        <v>46100</v>
      </c>
      <c r="D22" s="12"/>
      <c r="E22" s="12"/>
      <c r="F22" s="29">
        <f t="shared" si="0"/>
        <v>0.1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outlineLevel="1" x14ac:dyDescent="0.25">
      <c r="A23" s="26">
        <f>'EUR (S)'!A24</f>
        <v>45921</v>
      </c>
      <c r="B23" s="27">
        <f>'EUR (S)'!E24</f>
        <v>0</v>
      </c>
      <c r="C23" s="26">
        <f>'EUR (S)'!F24</f>
        <v>46101</v>
      </c>
      <c r="D23" s="12"/>
      <c r="E23" s="12"/>
      <c r="F23" s="29">
        <f t="shared" si="0"/>
        <v>0.1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outlineLevel="1" x14ac:dyDescent="0.25">
      <c r="A24" s="26">
        <f>'EUR (S)'!A25</f>
        <v>45922</v>
      </c>
      <c r="B24" s="27">
        <f>'EUR (S)'!E25</f>
        <v>0</v>
      </c>
      <c r="C24" s="26">
        <f>'EUR (S)'!F25</f>
        <v>46102</v>
      </c>
      <c r="D24" s="12"/>
      <c r="E24" s="12"/>
      <c r="F24" s="29">
        <f t="shared" si="0"/>
        <v>0.1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outlineLevel="1" x14ac:dyDescent="0.25">
      <c r="A25" s="26">
        <f>'EUR (S)'!A26</f>
        <v>45923</v>
      </c>
      <c r="B25" s="27">
        <f>'EUR (S)'!E26</f>
        <v>0</v>
      </c>
      <c r="C25" s="26">
        <f>'EUR (S)'!F26</f>
        <v>46103</v>
      </c>
      <c r="D25" s="12"/>
      <c r="E25" s="12"/>
      <c r="F25" s="29">
        <f t="shared" si="0"/>
        <v>0.1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outlineLevel="1" x14ac:dyDescent="0.25">
      <c r="A26" s="26">
        <f>'EUR (S)'!A27</f>
        <v>45924</v>
      </c>
      <c r="B26" s="27">
        <f>'EUR (S)'!E27</f>
        <v>0</v>
      </c>
      <c r="C26" s="26">
        <f>'EUR (S)'!F27</f>
        <v>46104</v>
      </c>
      <c r="D26" s="12"/>
      <c r="E26" s="12"/>
      <c r="F26" s="29">
        <f t="shared" si="0"/>
        <v>0.1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outlineLevel="1" x14ac:dyDescent="0.25">
      <c r="A27" s="26">
        <f>'EUR (S)'!A28</f>
        <v>45925</v>
      </c>
      <c r="B27" s="27">
        <f>'EUR (S)'!E28</f>
        <v>0</v>
      </c>
      <c r="C27" s="26">
        <f>'EUR (S)'!F28</f>
        <v>46105</v>
      </c>
      <c r="D27" s="12"/>
      <c r="E27" s="12"/>
      <c r="F27" s="29">
        <f t="shared" si="0"/>
        <v>0.1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outlineLevel="1" x14ac:dyDescent="0.25">
      <c r="A28" s="26">
        <f>'EUR (S)'!A29</f>
        <v>45926</v>
      </c>
      <c r="B28" s="27">
        <f>'EUR (S)'!E29</f>
        <v>0</v>
      </c>
      <c r="C28" s="26">
        <f>'EUR (S)'!F29</f>
        <v>46106</v>
      </c>
      <c r="D28" s="12"/>
      <c r="E28" s="12"/>
      <c r="F28" s="29">
        <f t="shared" si="0"/>
        <v>0.1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outlineLevel="1" x14ac:dyDescent="0.25">
      <c r="A29" s="26">
        <f>'EUR (S)'!A30</f>
        <v>45927</v>
      </c>
      <c r="B29" s="27">
        <f>'EUR (S)'!E30</f>
        <v>0</v>
      </c>
      <c r="C29" s="26">
        <f>'EUR (S)'!F30</f>
        <v>46107</v>
      </c>
      <c r="D29" s="12"/>
      <c r="E29" s="12"/>
      <c r="F29" s="29">
        <f t="shared" si="0"/>
        <v>0.1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outlineLevel="1" x14ac:dyDescent="0.25">
      <c r="A30" s="26">
        <f>'EUR (S)'!A31</f>
        <v>45928</v>
      </c>
      <c r="B30" s="27">
        <f>'EUR (S)'!E31</f>
        <v>0</v>
      </c>
      <c r="C30" s="26">
        <f>'EUR (S)'!F31</f>
        <v>46108</v>
      </c>
      <c r="D30" s="12"/>
      <c r="E30" s="12"/>
      <c r="F30" s="29">
        <f t="shared" si="0"/>
        <v>0.1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outlineLevel="1" x14ac:dyDescent="0.25">
      <c r="A31" s="26">
        <f>'EUR (S)'!A32</f>
        <v>45929</v>
      </c>
      <c r="B31" s="27">
        <f>'EUR (S)'!E32</f>
        <v>0</v>
      </c>
      <c r="C31" s="26">
        <f>'EUR (S)'!F32</f>
        <v>46109</v>
      </c>
      <c r="D31" s="12"/>
      <c r="E31" s="12"/>
      <c r="F31" s="29">
        <f t="shared" si="0"/>
        <v>0.1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outlineLevel="1" x14ac:dyDescent="0.25">
      <c r="A32" s="26">
        <f>'EUR (S)'!A33</f>
        <v>45930</v>
      </c>
      <c r="B32" s="27">
        <f>'EUR (S)'!E33</f>
        <v>0</v>
      </c>
      <c r="C32" s="26">
        <f>'EUR (S)'!F33</f>
        <v>46110</v>
      </c>
      <c r="D32" s="12"/>
      <c r="E32" s="12"/>
      <c r="F32" s="29">
        <f t="shared" si="0"/>
        <v>0.1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outlineLevel="1" x14ac:dyDescent="0.25">
      <c r="A33" s="30">
        <v>8.2025000000000006</v>
      </c>
      <c r="B33" s="31">
        <f>SUM(B3:B32)</f>
        <v>0.1</v>
      </c>
      <c r="C33" s="31"/>
      <c r="D33" s="31">
        <f>SUM(D3:D32)</f>
        <v>0</v>
      </c>
      <c r="E33" s="31"/>
      <c r="F33" s="32">
        <f t="shared" ref="F33:F34" si="1">B33-D33</f>
        <v>0.1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x14ac:dyDescent="0.25">
      <c r="A34" s="16" t="str">
        <f>'EUR (S)'!A98</f>
        <v>Итог 2025:</v>
      </c>
      <c r="B34" s="33">
        <f>B33</f>
        <v>0.1</v>
      </c>
      <c r="C34" s="33"/>
      <c r="D34" s="33">
        <f>D33</f>
        <v>0</v>
      </c>
      <c r="E34" s="33"/>
      <c r="F34" s="33">
        <f t="shared" si="1"/>
        <v>0.1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1:18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1:18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1:18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1:18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8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8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1:18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8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8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8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 x14ac:dyDescent="0.25">
      <c r="A61" s="15"/>
      <c r="B61" s="15"/>
      <c r="C61" s="15"/>
      <c r="D61" s="15"/>
      <c r="E61" s="15"/>
      <c r="F61" s="15"/>
      <c r="G61" s="15"/>
      <c r="H61" s="34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8" x14ac:dyDescent="0.25">
      <c r="A62" s="15"/>
      <c r="B62" s="15"/>
      <c r="C62" s="15"/>
      <c r="D62" s="15"/>
      <c r="E62" s="15"/>
      <c r="F62" s="15"/>
      <c r="G62" s="15"/>
      <c r="H62" s="34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x14ac:dyDescent="0.25">
      <c r="A63" s="15"/>
      <c r="B63" s="15"/>
      <c r="C63" s="15"/>
      <c r="D63" s="15"/>
      <c r="E63" s="15"/>
      <c r="F63" s="15"/>
      <c r="G63" s="15"/>
      <c r="H63" s="34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8" x14ac:dyDescent="0.25">
      <c r="A64" s="15"/>
      <c r="B64" s="15"/>
      <c r="C64" s="15"/>
      <c r="D64" s="15"/>
      <c r="E64" s="15"/>
      <c r="F64" s="15"/>
      <c r="G64" s="15"/>
      <c r="H64" s="34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 x14ac:dyDescent="0.25">
      <c r="A65" s="15"/>
      <c r="B65" s="15"/>
      <c r="C65" s="15"/>
      <c r="D65" s="15"/>
      <c r="E65" s="15"/>
      <c r="F65" s="15"/>
      <c r="G65" s="15"/>
      <c r="H65" s="34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 x14ac:dyDescent="0.25">
      <c r="A66" s="15"/>
      <c r="B66" s="15"/>
      <c r="C66" s="15"/>
      <c r="D66" s="15"/>
      <c r="E66" s="15"/>
      <c r="F66" s="15"/>
      <c r="G66" s="15"/>
      <c r="H66" s="34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x14ac:dyDescent="0.25">
      <c r="A67" s="15"/>
      <c r="B67" s="15"/>
      <c r="C67" s="15"/>
      <c r="D67" s="15"/>
      <c r="E67" s="15"/>
      <c r="F67" s="15"/>
      <c r="G67" s="15"/>
      <c r="H67" s="34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 x14ac:dyDescent="0.25">
      <c r="A68" s="15"/>
      <c r="B68" s="15"/>
      <c r="C68" s="15"/>
      <c r="D68" s="15"/>
      <c r="E68" s="15"/>
      <c r="F68" s="15"/>
      <c r="G68" s="15"/>
      <c r="H68" s="34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1:18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18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1:18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1:18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8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1:18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1:18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1:18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1:18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1:18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1:18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1:18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1:18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1:18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1:18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1:18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1:18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1:18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1:18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1:18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1:18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1:18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18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18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18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1:18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1:18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8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1:18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18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18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18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1:18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1:18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1:18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1:18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8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8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1:18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 spans="1:18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 spans="1:18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 spans="1:18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 spans="1:18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 spans="1:18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 spans="1:18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 spans="1:18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 spans="1:18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 spans="1:18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 spans="1:18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 spans="1:18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 spans="1:18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1:18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1:18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 spans="1:18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 spans="1:18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 spans="1:18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 spans="1:18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 spans="1:18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 spans="1:18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 spans="1:18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 spans="1:18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 spans="1:18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 spans="1:18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 spans="1:18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 spans="1:18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 spans="1:18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 spans="1:18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 spans="1:18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 spans="1:18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1:18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1:18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1:18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1:18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1:18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1:18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 spans="1:18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1:18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 spans="1:18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1:18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 spans="1:18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1:18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1:18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1:18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 spans="1:18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1:18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 spans="1:18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 spans="1:18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 spans="1:18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 spans="1:18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 spans="1:18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1:18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 spans="1:18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1:18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 spans="1:18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1:18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1:18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1:18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 spans="1:18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1:18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 spans="1:18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1:18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 spans="1:18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1:18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 spans="1:18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 spans="1:18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 spans="1:18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 spans="1:18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 spans="1:18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 spans="1:18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 spans="1:18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 spans="1:18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 spans="1:18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 spans="1:18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 spans="1:18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 spans="1:18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 spans="1:18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 spans="1:18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 spans="1:18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 spans="1:18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 spans="1:18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 spans="1:18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 spans="1:18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 spans="1:18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 spans="1:18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 spans="1:18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 spans="1:18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 spans="1:18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 spans="1:18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 spans="1:18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 spans="1:18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 spans="1:18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 spans="1:18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 spans="1:18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 spans="1:18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 spans="1:18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 spans="1:18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 spans="1:18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 spans="1:18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 spans="1:18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 spans="1:18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 spans="1:18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 spans="1:18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 spans="1:18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 spans="1:18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 spans="1:18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 spans="1:18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 spans="1:18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 spans="1:18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 spans="1:18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 spans="1:18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 spans="1:18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 spans="1:18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 spans="1:18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 spans="1:18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 spans="1:18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 spans="1:18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 spans="1:18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 spans="1:18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 spans="1:18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 spans="1:18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 spans="1:18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 spans="1:18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1:18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1:18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1:18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 spans="1:18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1:18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 spans="1:18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1:18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1:18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1:18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1:18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 spans="1:18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1:18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 spans="1:18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1:18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 spans="1:18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1:18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 spans="1:18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1:18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 spans="1:18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1:18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 spans="1:18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1:18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 spans="1:18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1:18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 spans="1:18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1:18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 spans="1:18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1:18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 spans="1:18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1:18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 spans="1:18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1:18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 spans="1:18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1:18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 spans="1:18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1:18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 spans="1:18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1:18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 spans="1:18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1:18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 spans="1:18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1:18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 spans="1:18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 spans="1:18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 spans="1:18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 spans="1:18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 spans="1:18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 spans="1:18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 spans="1:18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 spans="1:18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 spans="1:18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 spans="1:18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 spans="1:18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 spans="1:18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 spans="1:18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 spans="1:18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 spans="1:18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 spans="1:18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 spans="1:18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 spans="1:18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 spans="1:18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 spans="1:18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 spans="1:18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 spans="1:18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 spans="1:18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 spans="1:18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 spans="1:18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 spans="1:18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 spans="1:18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 spans="1:18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 spans="1:18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 spans="1:18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 spans="1:18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 spans="1:18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 spans="1:18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 spans="1:18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 spans="1:18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 spans="1:18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 spans="1:18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 spans="1:18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 spans="1:18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 spans="1:18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 spans="1:18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 spans="1:18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 spans="1:18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 spans="1:18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 spans="1:18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 spans="1:18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 spans="1:18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 spans="1:18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 spans="1:18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 spans="1:18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 spans="1:18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 spans="1:18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 spans="1:18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 spans="1:18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 spans="1:18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 spans="1:18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 spans="1:18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 spans="1:18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 spans="1:18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 spans="1:18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 spans="1:18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 spans="1:18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 spans="1:18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 spans="1:18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 spans="1:18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 spans="1:18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 spans="1:18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 spans="1:18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 spans="1:18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 spans="1:18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 spans="1:18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 spans="1:18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 spans="1:18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 spans="1:18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 spans="1:18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 spans="1:18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 spans="1:18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 spans="1:18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 spans="1:18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 spans="1:18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 spans="1:18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 spans="1:18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 spans="1:18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 spans="1:18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 spans="1:18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 spans="1:18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 spans="1:18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 spans="1:18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 spans="1:18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 spans="1:18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 spans="1:18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 spans="1:18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 spans="1:18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 spans="1:18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 spans="1:18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 spans="1:18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 spans="1:18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 spans="1:18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 spans="1:18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 spans="1:18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 spans="1:18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 spans="1:18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 spans="1:18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 spans="1:18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 spans="1:18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 spans="1:18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 spans="1:18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 spans="1:18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 spans="1:18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 spans="1:18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 spans="1:18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 spans="1:18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 spans="1:18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 spans="1:18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 spans="1:18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 spans="1:18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 spans="1:18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 spans="1:18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 spans="1:18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 spans="1:18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 spans="1:18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 spans="1:18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 spans="1:18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 spans="1:18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 spans="1:18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 spans="1:18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 spans="1:18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 spans="1:18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 spans="1:18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 spans="1:18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 spans="1:18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 spans="1:18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 spans="1:18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 spans="1:18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 spans="1:18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 spans="1:18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 spans="1:18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 spans="1:18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 spans="1:18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 spans="1:18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 spans="1:18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 spans="1:18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 spans="1:18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 spans="1:18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 spans="1:18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 spans="1:18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 spans="1:18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 spans="1:18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 spans="1:18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 spans="1:18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 spans="1:18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 spans="1:18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 spans="1:18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 spans="1:18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 spans="1:18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 spans="1:18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 spans="1:18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 spans="1:18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 spans="1:18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 spans="1:18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 spans="1:18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 spans="1:18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 spans="1:18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 spans="1:18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 spans="1:18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 spans="1:18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 spans="1:18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 spans="1:18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 spans="1:18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 spans="1:18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 spans="1:18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 spans="1:18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 spans="1:18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 spans="1:18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 spans="1:18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 spans="1:18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 spans="1:18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 spans="1:18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 spans="1:18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 spans="1:18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 spans="1:18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 spans="1:18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 spans="1:18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 spans="1:18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 spans="1:18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 spans="1:18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 spans="1:18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 spans="1:18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 spans="1:18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 spans="1:18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 spans="1:18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 spans="1:18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 spans="1:18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 spans="1:18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 spans="1:18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 spans="1:18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 spans="1:18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 spans="1:18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 spans="1:18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 spans="1:18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 spans="1:18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 spans="1:18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 spans="1:18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 spans="1:18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 spans="1:18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 spans="1:18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 spans="1:18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 spans="1:18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 spans="1:18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 spans="1:18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 spans="1:18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 spans="1:18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 spans="1:18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 spans="1:18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 spans="1:18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 spans="1:18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 spans="1:18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 spans="1:18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 spans="1:18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 spans="1:18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 spans="1:18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 spans="1:18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 spans="1:18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 spans="1:18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 spans="1:18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 spans="1:18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 spans="1:18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 spans="1:18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 spans="1:18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 spans="1:18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 spans="1:18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 spans="1:18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 spans="1:18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 spans="1:18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 spans="1:18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 spans="1:18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 spans="1:18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 spans="1:18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 spans="1:18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 spans="1:18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 spans="1:18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 spans="1:18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 spans="1:18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 spans="1:18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 spans="1:18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 spans="1:18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 spans="1:18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 spans="1:18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 spans="1:18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 spans="1:18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 spans="1:18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 spans="1:18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 spans="1:18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 spans="1:18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 spans="1:18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 spans="1:18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 spans="1:18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 spans="1:18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 spans="1:18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 spans="1:18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 spans="1:18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 spans="1:18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 spans="1:18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 spans="1:18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 spans="1:18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 spans="1:18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 spans="1:18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 spans="1:18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 spans="1:18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 spans="1:18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 spans="1:18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 spans="1:18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 spans="1:18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 spans="1:18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 spans="1:18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 spans="1:18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 spans="1:18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 spans="1:18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 spans="1:18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 spans="1:18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 spans="1:18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 spans="1:18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 spans="1:18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 spans="1:18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 spans="1:18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 spans="1:18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 spans="1:18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 spans="1:18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 spans="1:18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 spans="1:18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 spans="1:18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 spans="1:18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 spans="1:18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 spans="1:18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 spans="1:18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 spans="1:18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 spans="1:18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 spans="1:18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 spans="1:18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 spans="1:18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 spans="1:18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 spans="1:18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 spans="1:18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 spans="1:18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 spans="1:18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 spans="1:18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 spans="1:18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 spans="1:18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 spans="1:18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 spans="1:18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 spans="1:18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 spans="1:18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 spans="1:18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 spans="1:18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 spans="1:18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 spans="1:18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 spans="1:18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 spans="1:18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 spans="1:18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 spans="1:18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 spans="1:18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 spans="1:18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 spans="1:18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 spans="1:18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 spans="1:18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 spans="1:18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 spans="1:18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 spans="1:18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 spans="1:18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 spans="1:18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 spans="1:18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 spans="1:18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 spans="1:18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 spans="1:18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 spans="1:18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 spans="1:18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 spans="1:18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 spans="1:18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 spans="1:18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 spans="1:18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 spans="1:18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 spans="1:18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 spans="1:18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 spans="1:18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 spans="1:18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 spans="1:18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 spans="1:18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 spans="1:18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 spans="1:18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 spans="1:18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 spans="1:18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 spans="1:18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 spans="1:18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 spans="1:18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 spans="1:18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 spans="1:18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 spans="1:18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 spans="1:18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 spans="1:18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 spans="1:18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 spans="1:18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 spans="1:18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 spans="1:18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 spans="1:18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 spans="1:18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 spans="1:18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 spans="1:18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 spans="1:18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 spans="1:18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 spans="1:18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 spans="1:18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 spans="1:18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 spans="1:18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 spans="1:18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 spans="1:18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 spans="1:18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 spans="1:18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 spans="1:18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 spans="1:18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 spans="1:18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 spans="1:18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 spans="1:18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 spans="1:18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 spans="1:18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 spans="1:18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 spans="1:18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 spans="1:18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 spans="1:18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 spans="1:18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 spans="1:18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 spans="1:18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 spans="1:18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 spans="1:18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 spans="1:18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 spans="1:18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 spans="1:18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 spans="1:18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 spans="1:18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 spans="1:18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 spans="1:18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 spans="1:18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 spans="1:18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 spans="1:18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 spans="1:18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 spans="1:18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 spans="1:18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 spans="1:18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 spans="1:18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 spans="1:18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 spans="1:18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 spans="1:18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 spans="1:18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 spans="1:18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 spans="1:18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 spans="1:18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 spans="1:18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 spans="1:18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 spans="1:18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 spans="1:18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 spans="1:18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 spans="1:18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 spans="1:18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 spans="1:18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 spans="1:18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 spans="1:18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 spans="1:18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 spans="1:18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 spans="1:18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 spans="1:18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 spans="1:18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 spans="1:18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 spans="1:18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 spans="1:18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 spans="1:18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 spans="1:18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 spans="1:18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 spans="1:18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 spans="1:18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 spans="1:18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 spans="1:18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 spans="1:18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 spans="1:18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 spans="1:18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 spans="1:18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 spans="1:18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 spans="1:18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 spans="1:18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 spans="1:18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 spans="1:18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 spans="1:18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 spans="1:18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 spans="1:18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 spans="1:18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 spans="1:18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 spans="1:18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 spans="1:18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 spans="1:18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 spans="1:18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 spans="1:18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 spans="1:18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 spans="1:18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 spans="1:18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 spans="1:18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 spans="1:18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 spans="1:18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 spans="1:18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 spans="1:18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 spans="1:18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 spans="1:18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 spans="1:18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 spans="1:18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 spans="1:18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 spans="1:18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 spans="1:18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 spans="1:18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 spans="1:18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 spans="1:18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 spans="1:18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 spans="1:18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 spans="1:18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 spans="1:18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 spans="1:18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 spans="1:18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 spans="1:18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 spans="1:18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 spans="1:18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 spans="1:18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 spans="1:18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 spans="1:18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 spans="1:18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 spans="1:18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 spans="1:18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 spans="1:18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 spans="1:18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 spans="1:18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 spans="1:18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 spans="1:18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 spans="1:18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 spans="1:18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 spans="1:18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 spans="1:18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 spans="1:18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 spans="1:18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 spans="1:18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 spans="1:18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 spans="1:18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 spans="1:18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 spans="1:18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 spans="1:18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 spans="1:18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 spans="1:18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 spans="1:18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 spans="1:18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 spans="1:18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 spans="1:18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 spans="1:18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 spans="1:18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 spans="1:18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 spans="1:18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 spans="1:18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 spans="1:18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 spans="1:18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 spans="1:18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 spans="1:18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 spans="1:18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 spans="1:18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 spans="1:18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 spans="1:18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 spans="1:18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 spans="1:18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 spans="1:18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 spans="1:18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 spans="1:18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 spans="1:18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 spans="1:18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 spans="1:18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 spans="1:18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 spans="1:18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 spans="1:18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 spans="1:18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 spans="1:18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 spans="1:18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 spans="1:18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 spans="1:18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 spans="1:18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 spans="1:18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 spans="1:18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 spans="1:18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 spans="1:18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 spans="1:18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 spans="1:18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 spans="1:18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 spans="1:18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 spans="1:18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 spans="1:18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 spans="1:18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 spans="1:18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 spans="1:18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 spans="1:18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 spans="1:18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 spans="1:18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 spans="1:18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 spans="1:18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 spans="1:18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 spans="1:18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 spans="1:18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 spans="1:18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 spans="1:18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 spans="1:18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 spans="1:18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 spans="1:18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 spans="1:18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 spans="1:18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 spans="1:18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 spans="1:18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 spans="1:18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 spans="1:18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 spans="1:18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 spans="1:18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 spans="1:18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 spans="1:18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 spans="1:18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 spans="1:18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 spans="1:18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 spans="1:18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 spans="1:18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 spans="1:18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 spans="1:18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 spans="1:18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 spans="1:18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 spans="1:18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 spans="1:18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 spans="1:18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 spans="1:18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 spans="1:18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 spans="1:18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 spans="1:18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 spans="1:18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 spans="1:18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 spans="1:18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 spans="1:18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 spans="1:18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 spans="1:18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 spans="1:18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 spans="1:18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 spans="1:18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 spans="1:18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 spans="1:18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 spans="1:18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 spans="1:18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 spans="1:18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 spans="1:18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 spans="1:18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 spans="1:18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 spans="1:18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 spans="1:18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 spans="1:18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 spans="1:18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 spans="1:18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 spans="1:18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 spans="1:18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 spans="1:18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 spans="1:18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 spans="1:18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17"/>
  <sheetViews>
    <sheetView workbookViewId="0">
      <pane ySplit="1" topLeftCell="A2" activePane="bottomLeft" state="frozen"/>
      <selection pane="bottomLeft" activeCell="F1" sqref="F1:F1048576"/>
    </sheetView>
  </sheetViews>
  <sheetFormatPr defaultColWidth="14.42578125" defaultRowHeight="15" customHeight="1" x14ac:dyDescent="0.25"/>
  <sheetData>
    <row r="1" spans="1:12" x14ac:dyDescent="0.25">
      <c r="A1" s="35" t="s">
        <v>57</v>
      </c>
      <c r="B1" s="36" t="s">
        <v>58</v>
      </c>
      <c r="C1" s="36" t="s">
        <v>59</v>
      </c>
      <c r="D1" s="37" t="s">
        <v>60</v>
      </c>
      <c r="E1" s="35" t="s">
        <v>61</v>
      </c>
      <c r="H1" s="38"/>
      <c r="I1" s="38"/>
      <c r="J1" s="38"/>
      <c r="K1" s="38"/>
      <c r="L1" s="38"/>
    </row>
    <row r="2" spans="1:12" x14ac:dyDescent="0.25">
      <c r="A2" s="39"/>
      <c r="B2" s="13"/>
      <c r="C2" s="40"/>
      <c r="D2" s="41"/>
      <c r="E2" s="40"/>
      <c r="H2" s="42"/>
      <c r="I2" s="38"/>
      <c r="J2" s="43"/>
      <c r="K2" s="38"/>
      <c r="L2" s="38"/>
    </row>
    <row r="3" spans="1:12" x14ac:dyDescent="0.25">
      <c r="A3" s="39"/>
      <c r="B3" s="13"/>
      <c r="C3" s="40"/>
      <c r="D3" s="41"/>
      <c r="E3" s="40"/>
      <c r="H3" s="42"/>
      <c r="I3" s="38"/>
      <c r="J3" s="43"/>
      <c r="K3" s="38"/>
      <c r="L3" s="38"/>
    </row>
    <row r="4" spans="1:12" x14ac:dyDescent="0.25">
      <c r="A4" s="39"/>
      <c r="B4" s="13"/>
      <c r="C4" s="40"/>
      <c r="D4" s="41"/>
      <c r="E4" s="40"/>
      <c r="H4" s="42"/>
      <c r="I4" s="38"/>
      <c r="J4" s="43"/>
      <c r="K4" s="38"/>
      <c r="L4" s="38"/>
    </row>
    <row r="5" spans="1:12" x14ac:dyDescent="0.25">
      <c r="A5" s="39"/>
      <c r="B5" s="40"/>
      <c r="C5" s="40"/>
      <c r="D5" s="41"/>
      <c r="E5" s="40"/>
      <c r="H5" s="42"/>
      <c r="I5" s="38"/>
      <c r="J5" s="43"/>
      <c r="K5" s="38"/>
      <c r="L5" s="38"/>
    </row>
    <row r="6" spans="1:12" x14ac:dyDescent="0.25">
      <c r="A6" s="39"/>
      <c r="B6" s="13"/>
      <c r="C6" s="40"/>
      <c r="D6" s="41"/>
      <c r="E6" s="40"/>
      <c r="H6" s="42"/>
      <c r="I6" s="38"/>
      <c r="J6" s="43"/>
      <c r="K6" s="38"/>
      <c r="L6" s="38"/>
    </row>
    <row r="7" spans="1:12" x14ac:dyDescent="0.25">
      <c r="A7" s="44"/>
      <c r="B7" s="5"/>
      <c r="C7" s="5"/>
      <c r="D7" s="45"/>
      <c r="E7" s="5"/>
      <c r="F7" s="38"/>
      <c r="H7" s="42"/>
      <c r="I7" s="38"/>
      <c r="J7" s="43"/>
      <c r="K7" s="38"/>
      <c r="L7" s="38"/>
    </row>
    <row r="8" spans="1:12" x14ac:dyDescent="0.25">
      <c r="A8" s="39"/>
      <c r="B8" s="40"/>
      <c r="C8" s="40"/>
      <c r="D8" s="41"/>
      <c r="E8" s="40"/>
      <c r="H8" s="42"/>
      <c r="I8" s="38"/>
      <c r="J8" s="43"/>
      <c r="K8" s="38"/>
      <c r="L8" s="38"/>
    </row>
    <row r="9" spans="1:12" x14ac:dyDescent="0.25">
      <c r="A9" s="39"/>
      <c r="B9" s="40"/>
      <c r="C9" s="40"/>
      <c r="D9" s="41"/>
      <c r="E9" s="40"/>
      <c r="H9" s="42"/>
      <c r="I9" s="38"/>
      <c r="J9" s="43"/>
      <c r="K9" s="38"/>
      <c r="L9" s="38"/>
    </row>
    <row r="10" spans="1:12" x14ac:dyDescent="0.25">
      <c r="A10" s="39"/>
      <c r="B10" s="40"/>
      <c r="C10" s="40"/>
      <c r="D10" s="41"/>
      <c r="E10" s="40"/>
      <c r="H10" s="42"/>
      <c r="I10" s="38"/>
      <c r="J10" s="43"/>
      <c r="K10" s="38"/>
      <c r="L10" s="38"/>
    </row>
    <row r="11" spans="1:12" x14ac:dyDescent="0.25">
      <c r="A11" s="39"/>
      <c r="B11" s="40"/>
      <c r="C11" s="40"/>
      <c r="D11" s="41"/>
      <c r="E11" s="40"/>
      <c r="H11" s="42"/>
      <c r="I11" s="38"/>
      <c r="J11" s="43"/>
      <c r="K11" s="38"/>
      <c r="L11" s="38"/>
    </row>
    <row r="12" spans="1:12" x14ac:dyDescent="0.25">
      <c r="A12" s="39"/>
      <c r="B12" s="13"/>
      <c r="C12" s="40"/>
      <c r="D12" s="41"/>
      <c r="E12" s="40"/>
      <c r="H12" s="42"/>
      <c r="I12" s="38"/>
      <c r="J12" s="43"/>
      <c r="K12" s="38"/>
      <c r="L12" s="38"/>
    </row>
    <row r="13" spans="1:12" x14ac:dyDescent="0.25">
      <c r="A13" s="39"/>
      <c r="B13" s="40"/>
      <c r="C13" s="13"/>
      <c r="D13" s="41"/>
      <c r="E13" s="40"/>
      <c r="H13" s="42"/>
      <c r="I13" s="38"/>
      <c r="J13" s="43"/>
      <c r="K13" s="38"/>
      <c r="L13" s="38"/>
    </row>
    <row r="14" spans="1:12" x14ac:dyDescent="0.25">
      <c r="A14" s="39"/>
      <c r="B14" s="40"/>
      <c r="C14" s="13"/>
      <c r="D14" s="41"/>
      <c r="E14" s="40"/>
      <c r="H14" s="42"/>
      <c r="I14" s="38"/>
      <c r="J14" s="43"/>
      <c r="K14" s="38"/>
      <c r="L14" s="38"/>
    </row>
    <row r="15" spans="1:12" x14ac:dyDescent="0.25">
      <c r="A15" s="39"/>
      <c r="B15" s="40"/>
      <c r="C15" s="40"/>
      <c r="D15" s="41"/>
      <c r="E15" s="40"/>
      <c r="H15" s="42"/>
      <c r="I15" s="38"/>
      <c r="J15" s="43"/>
      <c r="K15" s="38"/>
      <c r="L15" s="38"/>
    </row>
    <row r="16" spans="1:12" x14ac:dyDescent="0.25">
      <c r="A16" s="39"/>
      <c r="B16" s="40"/>
      <c r="C16" s="40"/>
      <c r="D16" s="41"/>
      <c r="E16" s="40"/>
      <c r="H16" s="42"/>
      <c r="I16" s="38"/>
      <c r="J16" s="43"/>
      <c r="K16" s="38"/>
      <c r="L16" s="38"/>
    </row>
    <row r="17" spans="1:12" x14ac:dyDescent="0.25">
      <c r="A17" s="39"/>
      <c r="B17" s="40"/>
      <c r="C17" s="40"/>
      <c r="D17" s="41"/>
      <c r="E17" s="40"/>
      <c r="H17" s="38"/>
      <c r="I17" s="38"/>
      <c r="J17" s="43"/>
      <c r="K17" s="38"/>
      <c r="L17" s="38"/>
    </row>
    <row r="18" spans="1:12" x14ac:dyDescent="0.25">
      <c r="A18" s="39"/>
      <c r="B18" s="40"/>
      <c r="C18" s="40"/>
      <c r="D18" s="41"/>
      <c r="E18" s="40"/>
      <c r="H18" s="38"/>
      <c r="I18" s="38"/>
      <c r="J18" s="43"/>
      <c r="K18" s="38"/>
      <c r="L18" s="38"/>
    </row>
    <row r="19" spans="1:12" x14ac:dyDescent="0.25">
      <c r="A19" s="39"/>
      <c r="B19" s="40"/>
      <c r="C19" s="40"/>
      <c r="D19" s="41"/>
      <c r="E19" s="40"/>
      <c r="H19" s="38"/>
      <c r="I19" s="38"/>
      <c r="J19" s="43"/>
      <c r="K19" s="38"/>
      <c r="L19" s="38"/>
    </row>
    <row r="20" spans="1:12" x14ac:dyDescent="0.25">
      <c r="A20" s="39"/>
      <c r="B20" s="40"/>
      <c r="C20" s="40"/>
      <c r="D20" s="41"/>
      <c r="E20" s="40"/>
      <c r="H20" s="38"/>
      <c r="I20" s="38"/>
      <c r="J20" s="43"/>
      <c r="K20" s="38"/>
      <c r="L20" s="38"/>
    </row>
    <row r="21" spans="1:12" x14ac:dyDescent="0.25">
      <c r="A21" s="39"/>
      <c r="B21" s="40"/>
      <c r="C21" s="40"/>
      <c r="D21" s="41"/>
      <c r="E21" s="40"/>
      <c r="H21" s="38"/>
      <c r="I21" s="38"/>
      <c r="J21" s="43"/>
      <c r="K21" s="38"/>
      <c r="L21" s="38"/>
    </row>
    <row r="22" spans="1:12" x14ac:dyDescent="0.25">
      <c r="A22" s="39"/>
      <c r="B22" s="40"/>
      <c r="C22" s="40"/>
      <c r="D22" s="41"/>
      <c r="E22" s="40"/>
      <c r="H22" s="38"/>
      <c r="I22" s="38"/>
      <c r="J22" s="43"/>
      <c r="K22" s="38"/>
      <c r="L22" s="38"/>
    </row>
    <row r="23" spans="1:12" x14ac:dyDescent="0.25">
      <c r="A23" s="46" t="s">
        <v>62</v>
      </c>
      <c r="B23" s="33">
        <f>SUM(B2:B22)</f>
        <v>0</v>
      </c>
      <c r="C23" s="33">
        <f>SUM(C2:C20)</f>
        <v>0</v>
      </c>
      <c r="D23" s="33"/>
      <c r="E23" s="33">
        <f>SUM(E2:E22)</f>
        <v>0</v>
      </c>
      <c r="H23" s="38"/>
      <c r="I23" s="38"/>
      <c r="J23" s="38"/>
      <c r="K23" s="38"/>
      <c r="L23" s="38"/>
    </row>
    <row r="24" spans="1:12" x14ac:dyDescent="0.25">
      <c r="A24" s="16" t="s">
        <v>63</v>
      </c>
      <c r="B24" s="33" t="e">
        <f t="shared" ref="B24:C24" si="0">B23+#REF!</f>
        <v>#REF!</v>
      </c>
      <c r="C24" s="33" t="e">
        <f t="shared" si="0"/>
        <v>#REF!</v>
      </c>
      <c r="D24" s="33"/>
      <c r="E24" s="33" t="e">
        <f>E23+#REF!</f>
        <v>#REF!</v>
      </c>
      <c r="H24" s="38"/>
      <c r="I24" s="38"/>
      <c r="J24" s="38"/>
      <c r="K24" s="38"/>
      <c r="L24" s="38"/>
    </row>
    <row r="25" spans="1:12" x14ac:dyDescent="0.25">
      <c r="D25" s="47"/>
      <c r="H25" s="38"/>
      <c r="I25" s="38"/>
      <c r="J25" s="38"/>
      <c r="K25" s="38"/>
      <c r="L25" s="38"/>
    </row>
    <row r="26" spans="1:12" x14ac:dyDescent="0.25">
      <c r="D26" s="47"/>
      <c r="H26" s="38"/>
      <c r="I26" s="38"/>
      <c r="J26" s="38"/>
      <c r="K26" s="38"/>
      <c r="L26" s="38"/>
    </row>
    <row r="27" spans="1:12" x14ac:dyDescent="0.25">
      <c r="D27" s="47"/>
      <c r="H27" s="38"/>
      <c r="I27" s="38"/>
      <c r="J27" s="38"/>
      <c r="K27" s="38"/>
      <c r="L27" s="38"/>
    </row>
    <row r="28" spans="1:12" x14ac:dyDescent="0.25">
      <c r="D28" s="47"/>
      <c r="H28" s="38"/>
      <c r="I28" s="38"/>
      <c r="J28" s="38"/>
      <c r="K28" s="38"/>
      <c r="L28" s="38"/>
    </row>
    <row r="29" spans="1:12" x14ac:dyDescent="0.25">
      <c r="D29" s="47"/>
      <c r="H29" s="38"/>
      <c r="I29" s="38"/>
      <c r="J29" s="38"/>
      <c r="K29" s="38"/>
      <c r="L29" s="38"/>
    </row>
    <row r="30" spans="1:12" x14ac:dyDescent="0.25">
      <c r="D30" s="47"/>
      <c r="H30" s="38"/>
      <c r="I30" s="38"/>
      <c r="J30" s="38"/>
      <c r="K30" s="38"/>
      <c r="L30" s="38"/>
    </row>
    <row r="31" spans="1:12" x14ac:dyDescent="0.25">
      <c r="D31" s="47"/>
      <c r="H31" s="43"/>
      <c r="I31" s="38"/>
      <c r="J31" s="38"/>
      <c r="K31" s="38"/>
      <c r="L31" s="38"/>
    </row>
    <row r="32" spans="1:12" x14ac:dyDescent="0.25">
      <c r="D32" s="47"/>
      <c r="H32" s="38"/>
      <c r="I32" s="38"/>
      <c r="J32" s="38"/>
      <c r="K32" s="38"/>
      <c r="L32" s="38"/>
    </row>
    <row r="33" spans="4:12" x14ac:dyDescent="0.25">
      <c r="D33" s="47"/>
      <c r="H33" s="38"/>
      <c r="I33" s="38"/>
      <c r="J33" s="38"/>
      <c r="K33" s="38"/>
      <c r="L33" s="38"/>
    </row>
    <row r="34" spans="4:12" x14ac:dyDescent="0.25">
      <c r="D34" s="47"/>
      <c r="E34" s="10"/>
      <c r="H34" s="43"/>
      <c r="I34" s="38"/>
      <c r="J34" s="38"/>
      <c r="K34" s="38"/>
      <c r="L34" s="38"/>
    </row>
    <row r="35" spans="4:12" x14ac:dyDescent="0.25">
      <c r="D35" s="47"/>
      <c r="H35" s="38"/>
      <c r="I35" s="38"/>
      <c r="J35" s="38"/>
      <c r="K35" s="38"/>
      <c r="L35" s="38"/>
    </row>
    <row r="36" spans="4:12" x14ac:dyDescent="0.25">
      <c r="D36" s="47"/>
      <c r="H36" s="38"/>
      <c r="I36" s="38"/>
      <c r="J36" s="38"/>
      <c r="K36" s="38"/>
      <c r="L36" s="38"/>
    </row>
    <row r="37" spans="4:12" x14ac:dyDescent="0.25">
      <c r="D37" s="47"/>
      <c r="H37" s="38"/>
      <c r="I37" s="38"/>
      <c r="J37" s="38"/>
      <c r="K37" s="38"/>
      <c r="L37" s="38"/>
    </row>
    <row r="38" spans="4:12" x14ac:dyDescent="0.25">
      <c r="D38" s="47"/>
      <c r="H38" s="38"/>
      <c r="I38" s="38"/>
      <c r="J38" s="38"/>
      <c r="K38" s="38"/>
      <c r="L38" s="38"/>
    </row>
    <row r="39" spans="4:12" x14ac:dyDescent="0.25">
      <c r="D39" s="47"/>
      <c r="H39" s="38"/>
      <c r="I39" s="38"/>
      <c r="J39" s="38"/>
      <c r="K39" s="38"/>
      <c r="L39" s="38"/>
    </row>
    <row r="40" spans="4:12" x14ac:dyDescent="0.25">
      <c r="D40" s="47"/>
      <c r="H40" s="38"/>
      <c r="I40" s="38"/>
      <c r="J40" s="38"/>
      <c r="K40" s="38"/>
      <c r="L40" s="38"/>
    </row>
    <row r="41" spans="4:12" x14ac:dyDescent="0.25">
      <c r="D41" s="47"/>
      <c r="H41" s="38"/>
      <c r="I41" s="38"/>
      <c r="J41" s="38"/>
      <c r="K41" s="38"/>
      <c r="L41" s="38"/>
    </row>
    <row r="42" spans="4:12" x14ac:dyDescent="0.25">
      <c r="D42" s="47"/>
      <c r="H42" s="38"/>
      <c r="I42" s="38"/>
      <c r="J42" s="38"/>
      <c r="K42" s="38"/>
      <c r="L42" s="38"/>
    </row>
    <row r="43" spans="4:12" x14ac:dyDescent="0.25">
      <c r="D43" s="47"/>
      <c r="H43" s="38"/>
      <c r="I43" s="38"/>
      <c r="J43" s="38"/>
      <c r="K43" s="38"/>
      <c r="L43" s="38"/>
    </row>
    <row r="44" spans="4:12" x14ac:dyDescent="0.25">
      <c r="D44" s="47"/>
      <c r="H44" s="38"/>
      <c r="I44" s="38"/>
      <c r="J44" s="38"/>
      <c r="K44" s="38"/>
      <c r="L44" s="38"/>
    </row>
    <row r="45" spans="4:12" x14ac:dyDescent="0.25">
      <c r="D45" s="47"/>
      <c r="H45" s="38"/>
      <c r="I45" s="38"/>
      <c r="J45" s="38"/>
      <c r="K45" s="38"/>
      <c r="L45" s="38"/>
    </row>
    <row r="46" spans="4:12" x14ac:dyDescent="0.25">
      <c r="D46" s="47"/>
      <c r="H46" s="38"/>
      <c r="I46" s="38"/>
      <c r="J46" s="38"/>
      <c r="K46" s="38"/>
      <c r="L46" s="38"/>
    </row>
    <row r="47" spans="4:12" x14ac:dyDescent="0.25">
      <c r="D47" s="47"/>
      <c r="H47" s="38"/>
      <c r="I47" s="38"/>
      <c r="J47" s="38"/>
      <c r="K47" s="38"/>
      <c r="L47" s="38"/>
    </row>
    <row r="48" spans="4:12" x14ac:dyDescent="0.25">
      <c r="D48" s="47"/>
      <c r="H48" s="38"/>
      <c r="I48" s="38"/>
      <c r="J48" s="38"/>
      <c r="K48" s="38"/>
      <c r="L48" s="38"/>
    </row>
    <row r="49" spans="4:12" x14ac:dyDescent="0.25">
      <c r="D49" s="47"/>
      <c r="H49" s="38"/>
      <c r="I49" s="38"/>
      <c r="J49" s="38"/>
      <c r="K49" s="38"/>
      <c r="L49" s="38"/>
    </row>
    <row r="50" spans="4:12" x14ac:dyDescent="0.25">
      <c r="D50" s="47"/>
      <c r="H50" s="38"/>
      <c r="I50" s="38"/>
      <c r="J50" s="38"/>
      <c r="K50" s="38"/>
      <c r="L50" s="38"/>
    </row>
    <row r="51" spans="4:12" x14ac:dyDescent="0.25">
      <c r="D51" s="47"/>
      <c r="H51" s="38"/>
      <c r="I51" s="38"/>
      <c r="J51" s="38"/>
      <c r="K51" s="38"/>
      <c r="L51" s="38"/>
    </row>
    <row r="52" spans="4:12" x14ac:dyDescent="0.25">
      <c r="D52" s="47"/>
      <c r="H52" s="38"/>
      <c r="I52" s="38"/>
      <c r="J52" s="38"/>
      <c r="K52" s="38"/>
      <c r="L52" s="38"/>
    </row>
    <row r="53" spans="4:12" x14ac:dyDescent="0.25">
      <c r="D53" s="47"/>
      <c r="H53" s="38"/>
      <c r="I53" s="38"/>
      <c r="J53" s="38"/>
      <c r="K53" s="38"/>
      <c r="L53" s="38"/>
    </row>
    <row r="54" spans="4:12" x14ac:dyDescent="0.25">
      <c r="D54" s="47"/>
      <c r="H54" s="38"/>
      <c r="I54" s="38"/>
      <c r="J54" s="38"/>
      <c r="K54" s="38"/>
      <c r="L54" s="38"/>
    </row>
    <row r="55" spans="4:12" x14ac:dyDescent="0.25">
      <c r="D55" s="47"/>
      <c r="H55" s="38"/>
      <c r="I55" s="38"/>
      <c r="J55" s="38"/>
      <c r="K55" s="38"/>
      <c r="L55" s="38"/>
    </row>
    <row r="56" spans="4:12" x14ac:dyDescent="0.25">
      <c r="D56" s="47"/>
      <c r="H56" s="38"/>
      <c r="I56" s="38"/>
      <c r="J56" s="38"/>
      <c r="K56" s="38"/>
      <c r="L56" s="38"/>
    </row>
    <row r="57" spans="4:12" x14ac:dyDescent="0.25">
      <c r="D57" s="47"/>
      <c r="H57" s="38"/>
      <c r="I57" s="38"/>
      <c r="J57" s="38"/>
      <c r="K57" s="38"/>
      <c r="L57" s="38"/>
    </row>
    <row r="58" spans="4:12" x14ac:dyDescent="0.25">
      <c r="D58" s="47"/>
      <c r="H58" s="38"/>
      <c r="I58" s="38"/>
      <c r="J58" s="38"/>
      <c r="K58" s="38"/>
      <c r="L58" s="38"/>
    </row>
    <row r="59" spans="4:12" x14ac:dyDescent="0.25">
      <c r="D59" s="47"/>
      <c r="H59" s="38"/>
      <c r="I59" s="38"/>
      <c r="J59" s="38"/>
      <c r="K59" s="38"/>
      <c r="L59" s="38"/>
    </row>
    <row r="60" spans="4:12" x14ac:dyDescent="0.25">
      <c r="D60" s="47"/>
      <c r="H60" s="38"/>
      <c r="I60" s="38"/>
      <c r="J60" s="38"/>
      <c r="K60" s="38"/>
      <c r="L60" s="38"/>
    </row>
    <row r="61" spans="4:12" x14ac:dyDescent="0.25">
      <c r="D61" s="47"/>
      <c r="H61" s="38"/>
      <c r="I61" s="38"/>
      <c r="J61" s="38"/>
      <c r="K61" s="38"/>
      <c r="L61" s="38"/>
    </row>
    <row r="62" spans="4:12" x14ac:dyDescent="0.25">
      <c r="D62" s="47"/>
      <c r="H62" s="38"/>
      <c r="I62" s="38"/>
      <c r="J62" s="38"/>
      <c r="K62" s="38"/>
      <c r="L62" s="38"/>
    </row>
    <row r="63" spans="4:12" x14ac:dyDescent="0.25">
      <c r="D63" s="47"/>
      <c r="H63" s="38"/>
      <c r="I63" s="38"/>
      <c r="J63" s="38"/>
      <c r="K63" s="38"/>
      <c r="L63" s="38"/>
    </row>
    <row r="64" spans="4:12" x14ac:dyDescent="0.25">
      <c r="D64" s="47"/>
      <c r="H64" s="38"/>
      <c r="I64" s="38"/>
      <c r="J64" s="38"/>
      <c r="K64" s="38"/>
      <c r="L64" s="38"/>
    </row>
    <row r="65" spans="4:12" x14ac:dyDescent="0.25">
      <c r="D65" s="47"/>
      <c r="H65" s="38"/>
      <c r="I65" s="38"/>
      <c r="J65" s="38"/>
      <c r="K65" s="38"/>
      <c r="L65" s="38"/>
    </row>
    <row r="66" spans="4:12" x14ac:dyDescent="0.25">
      <c r="D66" s="47"/>
      <c r="H66" s="38"/>
      <c r="I66" s="38"/>
      <c r="J66" s="38"/>
      <c r="K66" s="38"/>
      <c r="L66" s="38"/>
    </row>
    <row r="67" spans="4:12" x14ac:dyDescent="0.25">
      <c r="D67" s="47"/>
      <c r="H67" s="38"/>
      <c r="I67" s="38"/>
      <c r="J67" s="38"/>
      <c r="K67" s="38"/>
      <c r="L67" s="38"/>
    </row>
    <row r="68" spans="4:12" x14ac:dyDescent="0.25">
      <c r="D68" s="47"/>
      <c r="H68" s="38"/>
      <c r="I68" s="38"/>
      <c r="J68" s="38"/>
      <c r="K68" s="38"/>
      <c r="L68" s="38"/>
    </row>
    <row r="69" spans="4:12" x14ac:dyDescent="0.25">
      <c r="D69" s="47"/>
      <c r="H69" s="38"/>
      <c r="I69" s="38"/>
      <c r="J69" s="38"/>
      <c r="K69" s="38"/>
      <c r="L69" s="38"/>
    </row>
    <row r="70" spans="4:12" x14ac:dyDescent="0.25">
      <c r="D70" s="47"/>
      <c r="H70" s="38"/>
      <c r="I70" s="38"/>
      <c r="J70" s="38"/>
      <c r="K70" s="38"/>
      <c r="L70" s="38"/>
    </row>
    <row r="71" spans="4:12" x14ac:dyDescent="0.25">
      <c r="D71" s="47"/>
      <c r="H71" s="38"/>
      <c r="I71" s="38"/>
      <c r="J71" s="38"/>
      <c r="K71" s="38"/>
      <c r="L71" s="38"/>
    </row>
    <row r="72" spans="4:12" x14ac:dyDescent="0.25">
      <c r="D72" s="47"/>
      <c r="H72" s="38"/>
      <c r="I72" s="38"/>
      <c r="J72" s="38"/>
      <c r="K72" s="38"/>
      <c r="L72" s="38"/>
    </row>
    <row r="73" spans="4:12" x14ac:dyDescent="0.25">
      <c r="D73" s="47"/>
      <c r="H73" s="38"/>
      <c r="I73" s="38"/>
      <c r="J73" s="38"/>
      <c r="K73" s="38"/>
      <c r="L73" s="38"/>
    </row>
    <row r="74" spans="4:12" x14ac:dyDescent="0.25">
      <c r="D74" s="47"/>
      <c r="H74" s="38"/>
      <c r="I74" s="38"/>
      <c r="J74" s="38"/>
      <c r="K74" s="38"/>
      <c r="L74" s="38"/>
    </row>
    <row r="75" spans="4:12" x14ac:dyDescent="0.25">
      <c r="D75" s="47"/>
      <c r="H75" s="38"/>
      <c r="I75" s="38"/>
      <c r="J75" s="38"/>
      <c r="K75" s="38"/>
      <c r="L75" s="38"/>
    </row>
    <row r="76" spans="4:12" x14ac:dyDescent="0.25">
      <c r="D76" s="47"/>
      <c r="H76" s="38"/>
      <c r="I76" s="38"/>
      <c r="J76" s="38"/>
      <c r="K76" s="38"/>
      <c r="L76" s="38"/>
    </row>
    <row r="77" spans="4:12" x14ac:dyDescent="0.25">
      <c r="D77" s="47"/>
      <c r="H77" s="38"/>
      <c r="I77" s="38"/>
      <c r="J77" s="38"/>
      <c r="K77" s="38"/>
      <c r="L77" s="38"/>
    </row>
    <row r="78" spans="4:12" x14ac:dyDescent="0.25">
      <c r="D78" s="47"/>
      <c r="H78" s="38"/>
      <c r="I78" s="38"/>
      <c r="J78" s="38"/>
      <c r="K78" s="38"/>
      <c r="L78" s="38"/>
    </row>
    <row r="79" spans="4:12" x14ac:dyDescent="0.25">
      <c r="D79" s="47"/>
      <c r="H79" s="38"/>
      <c r="I79" s="38"/>
      <c r="J79" s="38"/>
      <c r="K79" s="38"/>
      <c r="L79" s="38"/>
    </row>
    <row r="80" spans="4:12" x14ac:dyDescent="0.25">
      <c r="D80" s="47"/>
      <c r="H80" s="38"/>
      <c r="I80" s="38"/>
      <c r="J80" s="38"/>
      <c r="K80" s="38"/>
      <c r="L80" s="38"/>
    </row>
    <row r="81" spans="4:12" x14ac:dyDescent="0.25">
      <c r="D81" s="47"/>
      <c r="H81" s="38"/>
      <c r="I81" s="38"/>
      <c r="J81" s="38"/>
      <c r="K81" s="38"/>
      <c r="L81" s="38"/>
    </row>
    <row r="82" spans="4:12" x14ac:dyDescent="0.25">
      <c r="D82" s="47"/>
      <c r="H82" s="38"/>
      <c r="I82" s="38"/>
      <c r="J82" s="38"/>
      <c r="K82" s="38"/>
      <c r="L82" s="38"/>
    </row>
    <row r="83" spans="4:12" x14ac:dyDescent="0.25">
      <c r="D83" s="47"/>
      <c r="H83" s="38"/>
      <c r="I83" s="38"/>
      <c r="J83" s="38"/>
      <c r="K83" s="38"/>
      <c r="L83" s="38"/>
    </row>
    <row r="84" spans="4:12" x14ac:dyDescent="0.25">
      <c r="D84" s="47"/>
      <c r="H84" s="38"/>
      <c r="I84" s="38"/>
      <c r="J84" s="38"/>
      <c r="K84" s="38"/>
      <c r="L84" s="38"/>
    </row>
    <row r="85" spans="4:12" x14ac:dyDescent="0.25">
      <c r="D85" s="47"/>
      <c r="H85" s="38"/>
      <c r="I85" s="38"/>
      <c r="J85" s="38"/>
      <c r="K85" s="38"/>
      <c r="L85" s="38"/>
    </row>
    <row r="86" spans="4:12" x14ac:dyDescent="0.25">
      <c r="D86" s="47"/>
      <c r="H86" s="38"/>
      <c r="I86" s="38"/>
      <c r="J86" s="38"/>
      <c r="K86" s="38"/>
      <c r="L86" s="38"/>
    </row>
    <row r="87" spans="4:12" x14ac:dyDescent="0.25">
      <c r="D87" s="47"/>
      <c r="H87" s="38"/>
      <c r="I87" s="38"/>
      <c r="J87" s="38"/>
      <c r="K87" s="38"/>
      <c r="L87" s="38"/>
    </row>
    <row r="88" spans="4:12" x14ac:dyDescent="0.25">
      <c r="D88" s="47"/>
      <c r="H88" s="38"/>
      <c r="I88" s="38"/>
      <c r="J88" s="38"/>
      <c r="K88" s="38"/>
      <c r="L88" s="38"/>
    </row>
    <row r="89" spans="4:12" x14ac:dyDescent="0.25">
      <c r="D89" s="47"/>
      <c r="H89" s="38"/>
      <c r="I89" s="38"/>
      <c r="J89" s="38"/>
      <c r="K89" s="38"/>
      <c r="L89" s="38"/>
    </row>
    <row r="90" spans="4:12" x14ac:dyDescent="0.25">
      <c r="D90" s="47"/>
      <c r="H90" s="38"/>
      <c r="I90" s="38"/>
      <c r="J90" s="38"/>
      <c r="K90" s="38"/>
      <c r="L90" s="38"/>
    </row>
    <row r="91" spans="4:12" x14ac:dyDescent="0.25">
      <c r="D91" s="47"/>
      <c r="H91" s="38"/>
      <c r="I91" s="38"/>
      <c r="J91" s="38"/>
      <c r="K91" s="38"/>
      <c r="L91" s="38"/>
    </row>
    <row r="92" spans="4:12" x14ac:dyDescent="0.25">
      <c r="D92" s="47"/>
      <c r="H92" s="38"/>
      <c r="I92" s="38"/>
      <c r="J92" s="38"/>
      <c r="K92" s="38"/>
      <c r="L92" s="38"/>
    </row>
    <row r="93" spans="4:12" x14ac:dyDescent="0.25">
      <c r="D93" s="47"/>
      <c r="H93" s="38"/>
      <c r="I93" s="38"/>
      <c r="J93" s="38"/>
      <c r="K93" s="38"/>
      <c r="L93" s="38"/>
    </row>
    <row r="94" spans="4:12" x14ac:dyDescent="0.25">
      <c r="D94" s="47"/>
      <c r="H94" s="38"/>
      <c r="I94" s="38"/>
      <c r="J94" s="38"/>
      <c r="K94" s="38"/>
      <c r="L94" s="38"/>
    </row>
    <row r="95" spans="4:12" x14ac:dyDescent="0.25">
      <c r="D95" s="47"/>
      <c r="H95" s="38"/>
      <c r="I95" s="38"/>
      <c r="J95" s="38"/>
      <c r="K95" s="38"/>
      <c r="L95" s="38"/>
    </row>
    <row r="96" spans="4:12" x14ac:dyDescent="0.25">
      <c r="D96" s="47"/>
      <c r="H96" s="38"/>
      <c r="I96" s="38"/>
      <c r="J96" s="38"/>
      <c r="K96" s="38"/>
      <c r="L96" s="38"/>
    </row>
    <row r="97" spans="4:12" x14ac:dyDescent="0.25">
      <c r="D97" s="47"/>
      <c r="H97" s="38"/>
      <c r="I97" s="38"/>
      <c r="J97" s="38"/>
      <c r="K97" s="38"/>
      <c r="L97" s="38"/>
    </row>
    <row r="98" spans="4:12" x14ac:dyDescent="0.25">
      <c r="D98" s="47"/>
      <c r="H98" s="38"/>
      <c r="I98" s="38"/>
      <c r="J98" s="38"/>
      <c r="K98" s="38"/>
      <c r="L98" s="38"/>
    </row>
    <row r="99" spans="4:12" x14ac:dyDescent="0.25">
      <c r="D99" s="47"/>
      <c r="H99" s="38"/>
      <c r="I99" s="38"/>
      <c r="J99" s="38"/>
      <c r="K99" s="38"/>
      <c r="L99" s="38"/>
    </row>
    <row r="100" spans="4:12" x14ac:dyDescent="0.25">
      <c r="D100" s="47"/>
      <c r="H100" s="38"/>
      <c r="I100" s="38"/>
      <c r="J100" s="38"/>
      <c r="K100" s="38"/>
      <c r="L100" s="38"/>
    </row>
    <row r="101" spans="4:12" x14ac:dyDescent="0.25">
      <c r="D101" s="47"/>
      <c r="H101" s="38"/>
      <c r="I101" s="38"/>
      <c r="J101" s="38"/>
      <c r="K101" s="38"/>
      <c r="L101" s="38"/>
    </row>
    <row r="102" spans="4:12" x14ac:dyDescent="0.25">
      <c r="D102" s="47"/>
      <c r="H102" s="38"/>
      <c r="I102" s="38"/>
      <c r="J102" s="38"/>
      <c r="K102" s="38"/>
      <c r="L102" s="38"/>
    </row>
    <row r="103" spans="4:12" x14ac:dyDescent="0.25">
      <c r="D103" s="47"/>
      <c r="H103" s="38"/>
      <c r="I103" s="38"/>
      <c r="J103" s="38"/>
      <c r="K103" s="38"/>
      <c r="L103" s="38"/>
    </row>
    <row r="104" spans="4:12" x14ac:dyDescent="0.25">
      <c r="D104" s="47"/>
      <c r="H104" s="38"/>
      <c r="I104" s="38"/>
      <c r="J104" s="38"/>
      <c r="K104" s="38"/>
      <c r="L104" s="38"/>
    </row>
    <row r="105" spans="4:12" x14ac:dyDescent="0.25">
      <c r="D105" s="47"/>
      <c r="H105" s="38"/>
      <c r="I105" s="38"/>
      <c r="J105" s="38"/>
      <c r="K105" s="38"/>
      <c r="L105" s="38"/>
    </row>
    <row r="106" spans="4:12" x14ac:dyDescent="0.25">
      <c r="D106" s="47"/>
      <c r="H106" s="38"/>
      <c r="I106" s="38"/>
      <c r="J106" s="38"/>
      <c r="K106" s="38"/>
      <c r="L106" s="38"/>
    </row>
    <row r="107" spans="4:12" x14ac:dyDescent="0.25">
      <c r="D107" s="47"/>
      <c r="H107" s="38"/>
      <c r="I107" s="38"/>
      <c r="J107" s="38"/>
      <c r="K107" s="38"/>
      <c r="L107" s="38"/>
    </row>
    <row r="108" spans="4:12" x14ac:dyDescent="0.25">
      <c r="D108" s="47"/>
      <c r="H108" s="38"/>
      <c r="I108" s="38"/>
      <c r="J108" s="38"/>
      <c r="K108" s="38"/>
      <c r="L108" s="38"/>
    </row>
    <row r="109" spans="4:12" x14ac:dyDescent="0.25">
      <c r="D109" s="47"/>
      <c r="H109" s="38"/>
      <c r="I109" s="38"/>
      <c r="J109" s="38"/>
      <c r="K109" s="38"/>
      <c r="L109" s="38"/>
    </row>
    <row r="110" spans="4:12" x14ac:dyDescent="0.25">
      <c r="D110" s="47"/>
      <c r="H110" s="38"/>
      <c r="I110" s="38"/>
      <c r="J110" s="38"/>
      <c r="K110" s="38"/>
      <c r="L110" s="38"/>
    </row>
    <row r="111" spans="4:12" x14ac:dyDescent="0.25">
      <c r="D111" s="47"/>
      <c r="H111" s="38"/>
      <c r="I111" s="38"/>
      <c r="J111" s="38"/>
      <c r="K111" s="38"/>
      <c r="L111" s="38"/>
    </row>
    <row r="112" spans="4:12" x14ac:dyDescent="0.25">
      <c r="D112" s="47"/>
      <c r="H112" s="38"/>
      <c r="I112" s="38"/>
      <c r="J112" s="38"/>
      <c r="K112" s="38"/>
      <c r="L112" s="38"/>
    </row>
    <row r="113" spans="4:12" x14ac:dyDescent="0.25">
      <c r="D113" s="47"/>
      <c r="H113" s="38"/>
      <c r="I113" s="38"/>
      <c r="J113" s="38"/>
      <c r="K113" s="38"/>
      <c r="L113" s="38"/>
    </row>
    <row r="114" spans="4:12" x14ac:dyDescent="0.25">
      <c r="D114" s="47"/>
      <c r="H114" s="38"/>
      <c r="I114" s="38"/>
      <c r="J114" s="38"/>
      <c r="K114" s="38"/>
      <c r="L114" s="38"/>
    </row>
    <row r="115" spans="4:12" x14ac:dyDescent="0.25">
      <c r="D115" s="47"/>
      <c r="H115" s="38"/>
      <c r="I115" s="38"/>
      <c r="J115" s="38"/>
      <c r="K115" s="38"/>
      <c r="L115" s="38"/>
    </row>
    <row r="116" spans="4:12" x14ac:dyDescent="0.25">
      <c r="D116" s="47"/>
      <c r="H116" s="38"/>
      <c r="I116" s="38"/>
      <c r="J116" s="38"/>
      <c r="K116" s="38"/>
      <c r="L116" s="38"/>
    </row>
    <row r="117" spans="4:12" x14ac:dyDescent="0.25">
      <c r="D117" s="47"/>
      <c r="H117" s="38"/>
      <c r="I117" s="38"/>
      <c r="J117" s="38"/>
      <c r="K117" s="38"/>
      <c r="L117" s="38"/>
    </row>
    <row r="118" spans="4:12" x14ac:dyDescent="0.25">
      <c r="D118" s="47"/>
      <c r="H118" s="38"/>
      <c r="I118" s="38"/>
      <c r="J118" s="38"/>
      <c r="K118" s="38"/>
      <c r="L118" s="38"/>
    </row>
    <row r="119" spans="4:12" x14ac:dyDescent="0.25">
      <c r="D119" s="47"/>
      <c r="H119" s="38"/>
      <c r="I119" s="38"/>
      <c r="J119" s="38"/>
      <c r="K119" s="38"/>
      <c r="L119" s="38"/>
    </row>
    <row r="120" spans="4:12" x14ac:dyDescent="0.25">
      <c r="D120" s="47"/>
      <c r="H120" s="38"/>
      <c r="I120" s="38"/>
      <c r="J120" s="38"/>
      <c r="K120" s="38"/>
      <c r="L120" s="38"/>
    </row>
    <row r="121" spans="4:12" x14ac:dyDescent="0.25">
      <c r="D121" s="47"/>
      <c r="H121" s="38"/>
      <c r="I121" s="38"/>
      <c r="J121" s="38"/>
      <c r="K121" s="38"/>
      <c r="L121" s="38"/>
    </row>
    <row r="122" spans="4:12" x14ac:dyDescent="0.25">
      <c r="D122" s="47"/>
      <c r="H122" s="38"/>
      <c r="I122" s="38"/>
      <c r="J122" s="38"/>
      <c r="K122" s="38"/>
      <c r="L122" s="38"/>
    </row>
    <row r="123" spans="4:12" x14ac:dyDescent="0.25">
      <c r="D123" s="47"/>
      <c r="H123" s="38"/>
      <c r="I123" s="38"/>
      <c r="J123" s="38"/>
      <c r="K123" s="38"/>
      <c r="L123" s="38"/>
    </row>
    <row r="124" spans="4:12" x14ac:dyDescent="0.25">
      <c r="D124" s="47"/>
      <c r="H124" s="38"/>
      <c r="I124" s="38"/>
      <c r="J124" s="38"/>
      <c r="K124" s="38"/>
      <c r="L124" s="38"/>
    </row>
    <row r="125" spans="4:12" x14ac:dyDescent="0.25">
      <c r="D125" s="47"/>
      <c r="H125" s="38"/>
      <c r="I125" s="38"/>
      <c r="J125" s="38"/>
      <c r="K125" s="38"/>
      <c r="L125" s="38"/>
    </row>
    <row r="126" spans="4:12" x14ac:dyDescent="0.25">
      <c r="D126" s="47"/>
      <c r="H126" s="38"/>
      <c r="I126" s="38"/>
      <c r="J126" s="38"/>
      <c r="K126" s="38"/>
      <c r="L126" s="38"/>
    </row>
    <row r="127" spans="4:12" x14ac:dyDescent="0.25">
      <c r="D127" s="47"/>
      <c r="H127" s="38"/>
      <c r="I127" s="38"/>
      <c r="J127" s="38"/>
      <c r="K127" s="38"/>
      <c r="L127" s="38"/>
    </row>
    <row r="128" spans="4:12" x14ac:dyDescent="0.25">
      <c r="D128" s="47"/>
      <c r="H128" s="38"/>
      <c r="I128" s="38"/>
      <c r="J128" s="38"/>
      <c r="K128" s="38"/>
      <c r="L128" s="38"/>
    </row>
    <row r="129" spans="4:12" x14ac:dyDescent="0.25">
      <c r="D129" s="47"/>
      <c r="H129" s="38"/>
      <c r="I129" s="38"/>
      <c r="J129" s="38"/>
      <c r="K129" s="38"/>
      <c r="L129" s="38"/>
    </row>
    <row r="130" spans="4:12" x14ac:dyDescent="0.25">
      <c r="D130" s="47"/>
      <c r="H130" s="38"/>
      <c r="I130" s="38"/>
      <c r="J130" s="38"/>
      <c r="K130" s="38"/>
      <c r="L130" s="38"/>
    </row>
    <row r="131" spans="4:12" x14ac:dyDescent="0.25">
      <c r="D131" s="47"/>
      <c r="H131" s="38"/>
      <c r="I131" s="38"/>
      <c r="J131" s="38"/>
      <c r="K131" s="38"/>
      <c r="L131" s="38"/>
    </row>
    <row r="132" spans="4:12" x14ac:dyDescent="0.25">
      <c r="D132" s="47"/>
      <c r="H132" s="38"/>
      <c r="I132" s="38"/>
      <c r="J132" s="38"/>
      <c r="K132" s="38"/>
      <c r="L132" s="38"/>
    </row>
    <row r="133" spans="4:12" x14ac:dyDescent="0.25">
      <c r="D133" s="47"/>
      <c r="H133" s="38"/>
      <c r="I133" s="38"/>
      <c r="J133" s="38"/>
      <c r="K133" s="38"/>
      <c r="L133" s="38"/>
    </row>
    <row r="134" spans="4:12" x14ac:dyDescent="0.25">
      <c r="D134" s="47"/>
      <c r="H134" s="38"/>
      <c r="I134" s="38"/>
      <c r="J134" s="38"/>
      <c r="K134" s="38"/>
      <c r="L134" s="38"/>
    </row>
    <row r="135" spans="4:12" x14ac:dyDescent="0.25">
      <c r="D135" s="47"/>
      <c r="H135" s="38"/>
      <c r="I135" s="38"/>
      <c r="J135" s="38"/>
      <c r="K135" s="38"/>
      <c r="L135" s="38"/>
    </row>
    <row r="136" spans="4:12" x14ac:dyDescent="0.25">
      <c r="D136" s="47"/>
      <c r="H136" s="38"/>
      <c r="I136" s="38"/>
      <c r="J136" s="38"/>
      <c r="K136" s="38"/>
      <c r="L136" s="38"/>
    </row>
    <row r="137" spans="4:12" x14ac:dyDescent="0.25">
      <c r="D137" s="47"/>
      <c r="H137" s="38"/>
      <c r="I137" s="38"/>
      <c r="J137" s="38"/>
      <c r="K137" s="38"/>
      <c r="L137" s="38"/>
    </row>
    <row r="138" spans="4:12" x14ac:dyDescent="0.25">
      <c r="D138" s="47"/>
      <c r="H138" s="38"/>
      <c r="I138" s="38"/>
      <c r="J138" s="38"/>
      <c r="K138" s="38"/>
      <c r="L138" s="38"/>
    </row>
    <row r="139" spans="4:12" x14ac:dyDescent="0.25">
      <c r="D139" s="47"/>
      <c r="H139" s="38"/>
      <c r="I139" s="38"/>
      <c r="J139" s="38"/>
      <c r="K139" s="38"/>
      <c r="L139" s="38"/>
    </row>
    <row r="140" spans="4:12" x14ac:dyDescent="0.25">
      <c r="D140" s="47"/>
      <c r="H140" s="38"/>
      <c r="I140" s="38"/>
      <c r="J140" s="38"/>
      <c r="K140" s="38"/>
      <c r="L140" s="38"/>
    </row>
    <row r="141" spans="4:12" x14ac:dyDescent="0.25">
      <c r="D141" s="47"/>
      <c r="H141" s="38"/>
      <c r="I141" s="38"/>
      <c r="J141" s="38"/>
      <c r="K141" s="38"/>
      <c r="L141" s="38"/>
    </row>
    <row r="142" spans="4:12" x14ac:dyDescent="0.25">
      <c r="D142" s="47"/>
      <c r="H142" s="38"/>
      <c r="I142" s="38"/>
      <c r="J142" s="38"/>
      <c r="K142" s="38"/>
      <c r="L142" s="38"/>
    </row>
    <row r="143" spans="4:12" x14ac:dyDescent="0.25">
      <c r="D143" s="47"/>
      <c r="H143" s="38"/>
      <c r="I143" s="38"/>
      <c r="J143" s="38"/>
      <c r="K143" s="38"/>
      <c r="L143" s="38"/>
    </row>
    <row r="144" spans="4:12" x14ac:dyDescent="0.25">
      <c r="D144" s="47"/>
      <c r="H144" s="38"/>
      <c r="I144" s="38"/>
      <c r="J144" s="38"/>
      <c r="K144" s="38"/>
      <c r="L144" s="38"/>
    </row>
    <row r="145" spans="4:12" x14ac:dyDescent="0.25">
      <c r="D145" s="47"/>
      <c r="H145" s="38"/>
      <c r="I145" s="38"/>
      <c r="J145" s="38"/>
      <c r="K145" s="38"/>
      <c r="L145" s="38"/>
    </row>
    <row r="146" spans="4:12" x14ac:dyDescent="0.25">
      <c r="D146" s="47"/>
      <c r="H146" s="38"/>
      <c r="I146" s="38"/>
      <c r="J146" s="38"/>
      <c r="K146" s="38"/>
      <c r="L146" s="38"/>
    </row>
    <row r="147" spans="4:12" x14ac:dyDescent="0.25">
      <c r="D147" s="47"/>
      <c r="H147" s="38"/>
      <c r="I147" s="38"/>
      <c r="J147" s="38"/>
      <c r="K147" s="38"/>
      <c r="L147" s="38"/>
    </row>
    <row r="148" spans="4:12" x14ac:dyDescent="0.25">
      <c r="D148" s="47"/>
      <c r="H148" s="38"/>
      <c r="I148" s="38"/>
      <c r="J148" s="38"/>
      <c r="K148" s="38"/>
      <c r="L148" s="38"/>
    </row>
    <row r="149" spans="4:12" x14ac:dyDescent="0.25">
      <c r="D149" s="47"/>
      <c r="H149" s="38"/>
      <c r="I149" s="38"/>
      <c r="J149" s="38"/>
      <c r="K149" s="38"/>
      <c r="L149" s="38"/>
    </row>
    <row r="150" spans="4:12" x14ac:dyDescent="0.25">
      <c r="D150" s="47"/>
      <c r="H150" s="38"/>
      <c r="I150" s="38"/>
      <c r="J150" s="38"/>
      <c r="K150" s="38"/>
      <c r="L150" s="38"/>
    </row>
    <row r="151" spans="4:12" x14ac:dyDescent="0.25">
      <c r="D151" s="47"/>
      <c r="H151" s="38"/>
      <c r="I151" s="38"/>
      <c r="J151" s="38"/>
      <c r="K151" s="38"/>
      <c r="L151" s="38"/>
    </row>
    <row r="152" spans="4:12" x14ac:dyDescent="0.25">
      <c r="D152" s="47"/>
      <c r="H152" s="38"/>
      <c r="I152" s="38"/>
      <c r="J152" s="38"/>
      <c r="K152" s="38"/>
      <c r="L152" s="38"/>
    </row>
    <row r="153" spans="4:12" x14ac:dyDescent="0.25">
      <c r="D153" s="47"/>
      <c r="H153" s="38"/>
      <c r="I153" s="38"/>
      <c r="J153" s="38"/>
      <c r="K153" s="38"/>
      <c r="L153" s="38"/>
    </row>
    <row r="154" spans="4:12" x14ac:dyDescent="0.25">
      <c r="D154" s="47"/>
      <c r="H154" s="38"/>
      <c r="I154" s="38"/>
      <c r="J154" s="38"/>
      <c r="K154" s="38"/>
      <c r="L154" s="38"/>
    </row>
    <row r="155" spans="4:12" x14ac:dyDescent="0.25">
      <c r="D155" s="47"/>
      <c r="H155" s="38"/>
      <c r="I155" s="38"/>
      <c r="J155" s="38"/>
      <c r="K155" s="38"/>
      <c r="L155" s="38"/>
    </row>
    <row r="156" spans="4:12" x14ac:dyDescent="0.25">
      <c r="D156" s="47"/>
      <c r="H156" s="38"/>
      <c r="I156" s="38"/>
      <c r="J156" s="38"/>
      <c r="K156" s="38"/>
      <c r="L156" s="38"/>
    </row>
    <row r="157" spans="4:12" x14ac:dyDescent="0.25">
      <c r="D157" s="47"/>
      <c r="H157" s="38"/>
      <c r="I157" s="38"/>
      <c r="J157" s="38"/>
      <c r="K157" s="38"/>
      <c r="L157" s="38"/>
    </row>
    <row r="158" spans="4:12" x14ac:dyDescent="0.25">
      <c r="D158" s="47"/>
      <c r="H158" s="38"/>
      <c r="I158" s="38"/>
      <c r="J158" s="38"/>
      <c r="K158" s="38"/>
      <c r="L158" s="38"/>
    </row>
    <row r="159" spans="4:12" x14ac:dyDescent="0.25">
      <c r="D159" s="47"/>
      <c r="H159" s="38"/>
      <c r="I159" s="38"/>
      <c r="J159" s="38"/>
      <c r="K159" s="38"/>
      <c r="L159" s="38"/>
    </row>
    <row r="160" spans="4:12" x14ac:dyDescent="0.25">
      <c r="D160" s="47"/>
      <c r="H160" s="38"/>
      <c r="I160" s="38"/>
      <c r="J160" s="38"/>
      <c r="K160" s="38"/>
      <c r="L160" s="38"/>
    </row>
    <row r="161" spans="4:12" x14ac:dyDescent="0.25">
      <c r="D161" s="47"/>
      <c r="H161" s="38"/>
      <c r="I161" s="38"/>
      <c r="J161" s="38"/>
      <c r="K161" s="38"/>
      <c r="L161" s="38"/>
    </row>
    <row r="162" spans="4:12" x14ac:dyDescent="0.25">
      <c r="D162" s="47"/>
      <c r="H162" s="38"/>
      <c r="I162" s="38"/>
      <c r="J162" s="38"/>
      <c r="K162" s="38"/>
      <c r="L162" s="38"/>
    </row>
    <row r="163" spans="4:12" x14ac:dyDescent="0.25">
      <c r="D163" s="47"/>
      <c r="H163" s="38"/>
      <c r="I163" s="38"/>
      <c r="J163" s="38"/>
      <c r="K163" s="38"/>
      <c r="L163" s="38"/>
    </row>
    <row r="164" spans="4:12" x14ac:dyDescent="0.25">
      <c r="D164" s="47"/>
      <c r="H164" s="38"/>
      <c r="I164" s="38"/>
      <c r="J164" s="38"/>
      <c r="K164" s="38"/>
      <c r="L164" s="38"/>
    </row>
    <row r="165" spans="4:12" x14ac:dyDescent="0.25">
      <c r="D165" s="47"/>
      <c r="H165" s="38"/>
      <c r="I165" s="38"/>
      <c r="J165" s="38"/>
      <c r="K165" s="38"/>
      <c r="L165" s="38"/>
    </row>
    <row r="166" spans="4:12" x14ac:dyDescent="0.25">
      <c r="D166" s="47"/>
      <c r="H166" s="38"/>
      <c r="I166" s="38"/>
      <c r="J166" s="38"/>
      <c r="K166" s="38"/>
      <c r="L166" s="38"/>
    </row>
    <row r="167" spans="4:12" x14ac:dyDescent="0.25">
      <c r="D167" s="47"/>
      <c r="H167" s="38"/>
      <c r="I167" s="38"/>
      <c r="J167" s="38"/>
      <c r="K167" s="38"/>
      <c r="L167" s="38"/>
    </row>
    <row r="168" spans="4:12" x14ac:dyDescent="0.25">
      <c r="D168" s="47"/>
      <c r="H168" s="38"/>
      <c r="I168" s="38"/>
      <c r="J168" s="38"/>
      <c r="K168" s="38"/>
      <c r="L168" s="38"/>
    </row>
    <row r="169" spans="4:12" x14ac:dyDescent="0.25">
      <c r="D169" s="47"/>
      <c r="H169" s="38"/>
      <c r="I169" s="38"/>
      <c r="J169" s="38"/>
      <c r="K169" s="38"/>
      <c r="L169" s="38"/>
    </row>
    <row r="170" spans="4:12" x14ac:dyDescent="0.25">
      <c r="D170" s="47"/>
      <c r="H170" s="38"/>
      <c r="I170" s="38"/>
      <c r="J170" s="38"/>
      <c r="K170" s="38"/>
      <c r="L170" s="38"/>
    </row>
    <row r="171" spans="4:12" x14ac:dyDescent="0.25">
      <c r="D171" s="47"/>
      <c r="H171" s="38"/>
      <c r="I171" s="38"/>
      <c r="J171" s="38"/>
      <c r="K171" s="38"/>
      <c r="L171" s="38"/>
    </row>
    <row r="172" spans="4:12" x14ac:dyDescent="0.25">
      <c r="D172" s="47"/>
      <c r="H172" s="38"/>
      <c r="I172" s="38"/>
      <c r="J172" s="38"/>
      <c r="K172" s="38"/>
      <c r="L172" s="38"/>
    </row>
    <row r="173" spans="4:12" x14ac:dyDescent="0.25">
      <c r="D173" s="47"/>
      <c r="H173" s="38"/>
      <c r="I173" s="38"/>
      <c r="J173" s="38"/>
      <c r="K173" s="38"/>
      <c r="L173" s="38"/>
    </row>
    <row r="174" spans="4:12" x14ac:dyDescent="0.25">
      <c r="D174" s="47"/>
      <c r="H174" s="38"/>
      <c r="I174" s="38"/>
      <c r="J174" s="38"/>
      <c r="K174" s="38"/>
      <c r="L174" s="38"/>
    </row>
    <row r="175" spans="4:12" x14ac:dyDescent="0.25">
      <c r="D175" s="47"/>
      <c r="H175" s="38"/>
      <c r="I175" s="38"/>
      <c r="J175" s="38"/>
      <c r="K175" s="38"/>
      <c r="L175" s="38"/>
    </row>
    <row r="176" spans="4:12" x14ac:dyDescent="0.25">
      <c r="D176" s="47"/>
      <c r="H176" s="38"/>
      <c r="I176" s="38"/>
      <c r="J176" s="38"/>
      <c r="K176" s="38"/>
      <c r="L176" s="38"/>
    </row>
    <row r="177" spans="4:12" x14ac:dyDescent="0.25">
      <c r="D177" s="47"/>
      <c r="H177" s="38"/>
      <c r="I177" s="38"/>
      <c r="J177" s="38"/>
      <c r="K177" s="38"/>
      <c r="L177" s="38"/>
    </row>
    <row r="178" spans="4:12" x14ac:dyDescent="0.25">
      <c r="D178" s="47"/>
      <c r="H178" s="38"/>
      <c r="I178" s="38"/>
      <c r="J178" s="38"/>
      <c r="K178" s="38"/>
      <c r="L178" s="38"/>
    </row>
    <row r="179" spans="4:12" x14ac:dyDescent="0.25">
      <c r="D179" s="47"/>
      <c r="H179" s="38"/>
      <c r="I179" s="38"/>
      <c r="J179" s="38"/>
      <c r="K179" s="38"/>
      <c r="L179" s="38"/>
    </row>
    <row r="180" spans="4:12" x14ac:dyDescent="0.25">
      <c r="D180" s="47"/>
      <c r="H180" s="38"/>
      <c r="I180" s="38"/>
      <c r="J180" s="38"/>
      <c r="K180" s="38"/>
      <c r="L180" s="38"/>
    </row>
    <row r="181" spans="4:12" x14ac:dyDescent="0.25">
      <c r="D181" s="47"/>
      <c r="H181" s="38"/>
      <c r="I181" s="38"/>
      <c r="J181" s="38"/>
      <c r="K181" s="38"/>
      <c r="L181" s="38"/>
    </row>
    <row r="182" spans="4:12" x14ac:dyDescent="0.25">
      <c r="D182" s="47"/>
      <c r="H182" s="38"/>
      <c r="I182" s="38"/>
      <c r="J182" s="38"/>
      <c r="K182" s="38"/>
      <c r="L182" s="38"/>
    </row>
    <row r="183" spans="4:12" x14ac:dyDescent="0.25">
      <c r="D183" s="47"/>
      <c r="H183" s="38"/>
      <c r="I183" s="38"/>
      <c r="J183" s="38"/>
      <c r="K183" s="38"/>
      <c r="L183" s="38"/>
    </row>
    <row r="184" spans="4:12" x14ac:dyDescent="0.25">
      <c r="D184" s="47"/>
      <c r="H184" s="38"/>
      <c r="I184" s="38"/>
      <c r="J184" s="38"/>
      <c r="K184" s="38"/>
      <c r="L184" s="38"/>
    </row>
    <row r="185" spans="4:12" x14ac:dyDescent="0.25">
      <c r="D185" s="47"/>
      <c r="H185" s="38"/>
      <c r="I185" s="38"/>
      <c r="J185" s="38"/>
      <c r="K185" s="38"/>
      <c r="L185" s="38"/>
    </row>
    <row r="186" spans="4:12" x14ac:dyDescent="0.25">
      <c r="D186" s="47"/>
      <c r="H186" s="38"/>
      <c r="I186" s="38"/>
      <c r="J186" s="38"/>
      <c r="K186" s="38"/>
      <c r="L186" s="38"/>
    </row>
    <row r="187" spans="4:12" x14ac:dyDescent="0.25">
      <c r="D187" s="47"/>
      <c r="H187" s="38"/>
      <c r="I187" s="38"/>
      <c r="J187" s="38"/>
      <c r="K187" s="38"/>
      <c r="L187" s="38"/>
    </row>
    <row r="188" spans="4:12" x14ac:dyDescent="0.25">
      <c r="D188" s="47"/>
      <c r="H188" s="38"/>
      <c r="I188" s="38"/>
      <c r="J188" s="38"/>
      <c r="K188" s="38"/>
      <c r="L188" s="38"/>
    </row>
    <row r="189" spans="4:12" x14ac:dyDescent="0.25">
      <c r="D189" s="47"/>
      <c r="H189" s="38"/>
      <c r="I189" s="38"/>
      <c r="J189" s="38"/>
      <c r="K189" s="38"/>
      <c r="L189" s="38"/>
    </row>
    <row r="190" spans="4:12" x14ac:dyDescent="0.25">
      <c r="D190" s="47"/>
      <c r="H190" s="38"/>
      <c r="I190" s="38"/>
      <c r="J190" s="38"/>
      <c r="K190" s="38"/>
      <c r="L190" s="38"/>
    </row>
    <row r="191" spans="4:12" x14ac:dyDescent="0.25">
      <c r="D191" s="47"/>
      <c r="H191" s="38"/>
      <c r="I191" s="38"/>
      <c r="J191" s="38"/>
      <c r="K191" s="38"/>
      <c r="L191" s="38"/>
    </row>
    <row r="192" spans="4:12" x14ac:dyDescent="0.25">
      <c r="D192" s="47"/>
      <c r="H192" s="38"/>
      <c r="I192" s="38"/>
      <c r="J192" s="38"/>
      <c r="K192" s="38"/>
      <c r="L192" s="38"/>
    </row>
    <row r="193" spans="4:12" x14ac:dyDescent="0.25">
      <c r="D193" s="47"/>
      <c r="H193" s="38"/>
      <c r="I193" s="38"/>
      <c r="J193" s="38"/>
      <c r="K193" s="38"/>
      <c r="L193" s="38"/>
    </row>
    <row r="194" spans="4:12" x14ac:dyDescent="0.25">
      <c r="D194" s="47"/>
      <c r="H194" s="38"/>
      <c r="I194" s="38"/>
      <c r="J194" s="38"/>
      <c r="K194" s="38"/>
      <c r="L194" s="38"/>
    </row>
    <row r="195" spans="4:12" x14ac:dyDescent="0.25">
      <c r="D195" s="47"/>
      <c r="H195" s="38"/>
      <c r="I195" s="38"/>
      <c r="J195" s="38"/>
      <c r="K195" s="38"/>
      <c r="L195" s="38"/>
    </row>
    <row r="196" spans="4:12" x14ac:dyDescent="0.25">
      <c r="D196" s="47"/>
      <c r="H196" s="38"/>
      <c r="I196" s="38"/>
      <c r="J196" s="38"/>
      <c r="K196" s="38"/>
      <c r="L196" s="38"/>
    </row>
    <row r="197" spans="4:12" x14ac:dyDescent="0.25">
      <c r="D197" s="47"/>
      <c r="H197" s="38"/>
      <c r="I197" s="38"/>
      <c r="J197" s="38"/>
      <c r="K197" s="38"/>
      <c r="L197" s="38"/>
    </row>
    <row r="198" spans="4:12" x14ac:dyDescent="0.25">
      <c r="D198" s="47"/>
      <c r="H198" s="38"/>
      <c r="I198" s="38"/>
      <c r="J198" s="38"/>
      <c r="K198" s="38"/>
      <c r="L198" s="38"/>
    </row>
    <row r="199" spans="4:12" x14ac:dyDescent="0.25">
      <c r="D199" s="47"/>
      <c r="H199" s="38"/>
      <c r="I199" s="38"/>
      <c r="J199" s="38"/>
      <c r="K199" s="38"/>
      <c r="L199" s="38"/>
    </row>
    <row r="200" spans="4:12" x14ac:dyDescent="0.25">
      <c r="D200" s="47"/>
      <c r="H200" s="38"/>
      <c r="I200" s="38"/>
      <c r="J200" s="38"/>
      <c r="K200" s="38"/>
      <c r="L200" s="38"/>
    </row>
    <row r="201" spans="4:12" x14ac:dyDescent="0.25">
      <c r="D201" s="47"/>
      <c r="H201" s="38"/>
      <c r="I201" s="38"/>
      <c r="J201" s="38"/>
      <c r="K201" s="38"/>
      <c r="L201" s="38"/>
    </row>
    <row r="202" spans="4:12" x14ac:dyDescent="0.25">
      <c r="D202" s="47"/>
      <c r="H202" s="38"/>
      <c r="I202" s="38"/>
      <c r="J202" s="38"/>
      <c r="K202" s="38"/>
      <c r="L202" s="38"/>
    </row>
    <row r="203" spans="4:12" x14ac:dyDescent="0.25">
      <c r="D203" s="47"/>
      <c r="H203" s="38"/>
      <c r="I203" s="38"/>
      <c r="J203" s="38"/>
      <c r="K203" s="38"/>
      <c r="L203" s="38"/>
    </row>
    <row r="204" spans="4:12" x14ac:dyDescent="0.25">
      <c r="D204" s="47"/>
      <c r="H204" s="38"/>
      <c r="I204" s="38"/>
      <c r="J204" s="38"/>
      <c r="K204" s="38"/>
      <c r="L204" s="38"/>
    </row>
    <row r="205" spans="4:12" x14ac:dyDescent="0.25">
      <c r="D205" s="47"/>
      <c r="H205" s="38"/>
      <c r="I205" s="38"/>
      <c r="J205" s="38"/>
      <c r="K205" s="38"/>
      <c r="L205" s="38"/>
    </row>
    <row r="206" spans="4:12" x14ac:dyDescent="0.25">
      <c r="D206" s="47"/>
      <c r="H206" s="38"/>
      <c r="I206" s="38"/>
      <c r="J206" s="38"/>
      <c r="K206" s="38"/>
      <c r="L206" s="38"/>
    </row>
    <row r="207" spans="4:12" x14ac:dyDescent="0.25">
      <c r="D207" s="47"/>
      <c r="H207" s="38"/>
      <c r="I207" s="38"/>
      <c r="J207" s="38"/>
      <c r="K207" s="38"/>
      <c r="L207" s="38"/>
    </row>
    <row r="208" spans="4:12" x14ac:dyDescent="0.25">
      <c r="D208" s="47"/>
      <c r="H208" s="38"/>
      <c r="I208" s="38"/>
      <c r="J208" s="38"/>
      <c r="K208" s="38"/>
      <c r="L208" s="38"/>
    </row>
    <row r="209" spans="4:12" x14ac:dyDescent="0.25">
      <c r="D209" s="47"/>
      <c r="H209" s="38"/>
      <c r="I209" s="38"/>
      <c r="J209" s="38"/>
      <c r="K209" s="38"/>
      <c r="L209" s="38"/>
    </row>
    <row r="210" spans="4:12" x14ac:dyDescent="0.25">
      <c r="D210" s="47"/>
      <c r="H210" s="38"/>
      <c r="I210" s="38"/>
      <c r="J210" s="38"/>
      <c r="K210" s="38"/>
      <c r="L210" s="38"/>
    </row>
    <row r="211" spans="4:12" x14ac:dyDescent="0.25">
      <c r="D211" s="47"/>
      <c r="H211" s="38"/>
      <c r="I211" s="38"/>
      <c r="J211" s="38"/>
      <c r="K211" s="38"/>
      <c r="L211" s="38"/>
    </row>
    <row r="212" spans="4:12" x14ac:dyDescent="0.25">
      <c r="D212" s="47"/>
      <c r="H212" s="38"/>
      <c r="I212" s="38"/>
      <c r="J212" s="38"/>
      <c r="K212" s="38"/>
      <c r="L212" s="38"/>
    </row>
    <row r="213" spans="4:12" x14ac:dyDescent="0.25">
      <c r="D213" s="47"/>
      <c r="H213" s="38"/>
      <c r="I213" s="38"/>
      <c r="J213" s="38"/>
      <c r="K213" s="38"/>
      <c r="L213" s="38"/>
    </row>
    <row r="214" spans="4:12" x14ac:dyDescent="0.25">
      <c r="D214" s="47"/>
      <c r="H214" s="38"/>
      <c r="I214" s="38"/>
      <c r="J214" s="38"/>
      <c r="K214" s="38"/>
      <c r="L214" s="38"/>
    </row>
    <row r="215" spans="4:12" x14ac:dyDescent="0.25">
      <c r="D215" s="47"/>
      <c r="H215" s="38"/>
      <c r="I215" s="38"/>
      <c r="J215" s="38"/>
      <c r="K215" s="38"/>
      <c r="L215" s="38"/>
    </row>
    <row r="216" spans="4:12" x14ac:dyDescent="0.25">
      <c r="D216" s="47"/>
      <c r="H216" s="38"/>
      <c r="I216" s="38"/>
      <c r="J216" s="38"/>
      <c r="K216" s="38"/>
      <c r="L216" s="38"/>
    </row>
    <row r="217" spans="4:12" x14ac:dyDescent="0.25">
      <c r="D217" s="47"/>
      <c r="H217" s="38"/>
      <c r="I217" s="38"/>
      <c r="J217" s="38"/>
      <c r="K217" s="38"/>
      <c r="L217" s="38"/>
    </row>
    <row r="218" spans="4:12" x14ac:dyDescent="0.25">
      <c r="D218" s="47"/>
      <c r="H218" s="38"/>
      <c r="I218" s="38"/>
      <c r="J218" s="38"/>
      <c r="K218" s="38"/>
      <c r="L218" s="38"/>
    </row>
    <row r="219" spans="4:12" x14ac:dyDescent="0.25">
      <c r="D219" s="47"/>
      <c r="H219" s="38"/>
      <c r="I219" s="38"/>
      <c r="J219" s="38"/>
      <c r="K219" s="38"/>
      <c r="L219" s="38"/>
    </row>
    <row r="220" spans="4:12" x14ac:dyDescent="0.25">
      <c r="D220" s="47"/>
      <c r="H220" s="38"/>
      <c r="I220" s="38"/>
      <c r="J220" s="38"/>
      <c r="K220" s="38"/>
      <c r="L220" s="38"/>
    </row>
    <row r="221" spans="4:12" x14ac:dyDescent="0.25">
      <c r="D221" s="47"/>
      <c r="H221" s="38"/>
      <c r="I221" s="38"/>
      <c r="J221" s="38"/>
      <c r="K221" s="38"/>
      <c r="L221" s="38"/>
    </row>
    <row r="222" spans="4:12" x14ac:dyDescent="0.25">
      <c r="D222" s="47"/>
      <c r="H222" s="38"/>
      <c r="I222" s="38"/>
      <c r="J222" s="38"/>
      <c r="K222" s="38"/>
      <c r="L222" s="38"/>
    </row>
    <row r="223" spans="4:12" x14ac:dyDescent="0.25">
      <c r="D223" s="47"/>
      <c r="H223" s="38"/>
      <c r="I223" s="38"/>
      <c r="J223" s="38"/>
      <c r="K223" s="38"/>
      <c r="L223" s="38"/>
    </row>
    <row r="224" spans="4:12" x14ac:dyDescent="0.25">
      <c r="D224" s="47"/>
      <c r="H224" s="38"/>
      <c r="I224" s="38"/>
      <c r="J224" s="38"/>
      <c r="K224" s="38"/>
      <c r="L224" s="38"/>
    </row>
    <row r="225" spans="4:12" x14ac:dyDescent="0.25">
      <c r="D225" s="47"/>
      <c r="H225" s="38"/>
      <c r="I225" s="38"/>
      <c r="J225" s="38"/>
      <c r="K225" s="38"/>
      <c r="L225" s="38"/>
    </row>
    <row r="226" spans="4:12" x14ac:dyDescent="0.25">
      <c r="D226" s="47"/>
      <c r="H226" s="38"/>
      <c r="I226" s="38"/>
      <c r="J226" s="38"/>
      <c r="K226" s="38"/>
      <c r="L226" s="38"/>
    </row>
    <row r="227" spans="4:12" x14ac:dyDescent="0.25">
      <c r="D227" s="47"/>
      <c r="H227" s="38"/>
      <c r="I227" s="38"/>
      <c r="J227" s="38"/>
      <c r="K227" s="38"/>
      <c r="L227" s="38"/>
    </row>
    <row r="228" spans="4:12" x14ac:dyDescent="0.25">
      <c r="D228" s="47"/>
      <c r="H228" s="38"/>
      <c r="I228" s="38"/>
      <c r="J228" s="38"/>
      <c r="K228" s="38"/>
      <c r="L228" s="38"/>
    </row>
    <row r="229" spans="4:12" x14ac:dyDescent="0.25">
      <c r="D229" s="47"/>
      <c r="H229" s="38"/>
      <c r="I229" s="38"/>
      <c r="J229" s="38"/>
      <c r="K229" s="38"/>
      <c r="L229" s="38"/>
    </row>
    <row r="230" spans="4:12" x14ac:dyDescent="0.25">
      <c r="D230" s="47"/>
      <c r="H230" s="38"/>
      <c r="I230" s="38"/>
      <c r="J230" s="38"/>
      <c r="K230" s="38"/>
      <c r="L230" s="38"/>
    </row>
    <row r="231" spans="4:12" x14ac:dyDescent="0.25">
      <c r="D231" s="47"/>
      <c r="H231" s="38"/>
      <c r="I231" s="38"/>
      <c r="J231" s="38"/>
      <c r="K231" s="38"/>
      <c r="L231" s="38"/>
    </row>
    <row r="232" spans="4:12" x14ac:dyDescent="0.25">
      <c r="D232" s="47"/>
      <c r="H232" s="38"/>
      <c r="I232" s="38"/>
      <c r="J232" s="38"/>
      <c r="K232" s="38"/>
      <c r="L232" s="38"/>
    </row>
    <row r="233" spans="4:12" x14ac:dyDescent="0.25">
      <c r="D233" s="47"/>
      <c r="H233" s="38"/>
      <c r="I233" s="38"/>
      <c r="J233" s="38"/>
      <c r="K233" s="38"/>
      <c r="L233" s="38"/>
    </row>
    <row r="234" spans="4:12" x14ac:dyDescent="0.25">
      <c r="D234" s="47"/>
      <c r="H234" s="38"/>
      <c r="I234" s="38"/>
      <c r="J234" s="38"/>
      <c r="K234" s="38"/>
      <c r="L234" s="38"/>
    </row>
    <row r="235" spans="4:12" x14ac:dyDescent="0.25">
      <c r="D235" s="47"/>
      <c r="H235" s="38"/>
      <c r="I235" s="38"/>
      <c r="J235" s="38"/>
      <c r="K235" s="38"/>
      <c r="L235" s="38"/>
    </row>
    <row r="236" spans="4:12" x14ac:dyDescent="0.25">
      <c r="D236" s="47"/>
      <c r="H236" s="38"/>
      <c r="I236" s="38"/>
      <c r="J236" s="38"/>
      <c r="K236" s="38"/>
      <c r="L236" s="38"/>
    </row>
    <row r="237" spans="4:12" x14ac:dyDescent="0.25">
      <c r="D237" s="47"/>
      <c r="H237" s="38"/>
      <c r="I237" s="38"/>
      <c r="J237" s="38"/>
      <c r="K237" s="38"/>
      <c r="L237" s="38"/>
    </row>
    <row r="238" spans="4:12" x14ac:dyDescent="0.25">
      <c r="D238" s="47"/>
      <c r="H238" s="38"/>
      <c r="I238" s="38"/>
      <c r="J238" s="38"/>
      <c r="K238" s="38"/>
      <c r="L238" s="38"/>
    </row>
    <row r="239" spans="4:12" x14ac:dyDescent="0.25">
      <c r="D239" s="47"/>
      <c r="H239" s="38"/>
      <c r="I239" s="38"/>
      <c r="J239" s="38"/>
      <c r="K239" s="38"/>
      <c r="L239" s="38"/>
    </row>
    <row r="240" spans="4:12" x14ac:dyDescent="0.25">
      <c r="D240" s="47"/>
      <c r="H240" s="38"/>
      <c r="I240" s="38"/>
      <c r="J240" s="38"/>
      <c r="K240" s="38"/>
      <c r="L240" s="38"/>
    </row>
    <row r="241" spans="4:12" x14ac:dyDescent="0.25">
      <c r="D241" s="47"/>
      <c r="H241" s="38"/>
      <c r="I241" s="38"/>
      <c r="J241" s="38"/>
      <c r="K241" s="38"/>
      <c r="L241" s="38"/>
    </row>
    <row r="242" spans="4:12" x14ac:dyDescent="0.25">
      <c r="D242" s="47"/>
      <c r="H242" s="38"/>
      <c r="I242" s="38"/>
      <c r="J242" s="38"/>
      <c r="K242" s="38"/>
      <c r="L242" s="38"/>
    </row>
    <row r="243" spans="4:12" x14ac:dyDescent="0.25">
      <c r="D243" s="47"/>
      <c r="H243" s="38"/>
      <c r="I243" s="38"/>
      <c r="J243" s="38"/>
      <c r="K243" s="38"/>
      <c r="L243" s="38"/>
    </row>
    <row r="244" spans="4:12" x14ac:dyDescent="0.25">
      <c r="D244" s="47"/>
      <c r="H244" s="38"/>
      <c r="I244" s="38"/>
      <c r="J244" s="38"/>
      <c r="K244" s="38"/>
      <c r="L244" s="38"/>
    </row>
    <row r="245" spans="4:12" x14ac:dyDescent="0.25">
      <c r="D245" s="47"/>
      <c r="H245" s="38"/>
      <c r="I245" s="38"/>
      <c r="J245" s="38"/>
      <c r="K245" s="38"/>
      <c r="L245" s="38"/>
    </row>
    <row r="246" spans="4:12" x14ac:dyDescent="0.25">
      <c r="D246" s="47"/>
      <c r="H246" s="38"/>
      <c r="I246" s="38"/>
      <c r="J246" s="38"/>
      <c r="K246" s="38"/>
      <c r="L246" s="38"/>
    </row>
    <row r="247" spans="4:12" x14ac:dyDescent="0.25">
      <c r="D247" s="47"/>
      <c r="H247" s="38"/>
      <c r="I247" s="38"/>
      <c r="J247" s="38"/>
      <c r="K247" s="38"/>
      <c r="L247" s="38"/>
    </row>
    <row r="248" spans="4:12" x14ac:dyDescent="0.25">
      <c r="D248" s="47"/>
      <c r="H248" s="38"/>
      <c r="I248" s="38"/>
      <c r="J248" s="38"/>
      <c r="K248" s="38"/>
      <c r="L248" s="38"/>
    </row>
    <row r="249" spans="4:12" x14ac:dyDescent="0.25">
      <c r="D249" s="47"/>
      <c r="H249" s="38"/>
      <c r="I249" s="38"/>
      <c r="J249" s="38"/>
      <c r="K249" s="38"/>
      <c r="L249" s="38"/>
    </row>
    <row r="250" spans="4:12" x14ac:dyDescent="0.25">
      <c r="D250" s="47"/>
      <c r="H250" s="38"/>
      <c r="I250" s="38"/>
      <c r="J250" s="38"/>
      <c r="K250" s="38"/>
      <c r="L250" s="38"/>
    </row>
    <row r="251" spans="4:12" x14ac:dyDescent="0.25">
      <c r="D251" s="47"/>
      <c r="H251" s="38"/>
      <c r="I251" s="38"/>
      <c r="J251" s="38"/>
      <c r="K251" s="38"/>
      <c r="L251" s="38"/>
    </row>
    <row r="252" spans="4:12" x14ac:dyDescent="0.25">
      <c r="D252" s="47"/>
      <c r="H252" s="38"/>
      <c r="I252" s="38"/>
      <c r="J252" s="38"/>
      <c r="K252" s="38"/>
      <c r="L252" s="38"/>
    </row>
    <row r="253" spans="4:12" x14ac:dyDescent="0.25">
      <c r="D253" s="47"/>
      <c r="H253" s="38"/>
      <c r="I253" s="38"/>
      <c r="J253" s="38"/>
      <c r="K253" s="38"/>
      <c r="L253" s="38"/>
    </row>
    <row r="254" spans="4:12" x14ac:dyDescent="0.25">
      <c r="D254" s="47"/>
      <c r="H254" s="38"/>
      <c r="I254" s="38"/>
      <c r="J254" s="38"/>
      <c r="K254" s="38"/>
      <c r="L254" s="38"/>
    </row>
    <row r="255" spans="4:12" x14ac:dyDescent="0.25">
      <c r="D255" s="47"/>
      <c r="H255" s="38"/>
      <c r="I255" s="38"/>
      <c r="J255" s="38"/>
      <c r="K255" s="38"/>
      <c r="L255" s="38"/>
    </row>
    <row r="256" spans="4:12" x14ac:dyDescent="0.25">
      <c r="D256" s="47"/>
      <c r="H256" s="38"/>
      <c r="I256" s="38"/>
      <c r="J256" s="38"/>
      <c r="K256" s="38"/>
      <c r="L256" s="38"/>
    </row>
    <row r="257" spans="4:12" x14ac:dyDescent="0.25">
      <c r="D257" s="47"/>
      <c r="H257" s="38"/>
      <c r="I257" s="38"/>
      <c r="J257" s="38"/>
      <c r="K257" s="38"/>
      <c r="L257" s="38"/>
    </row>
    <row r="258" spans="4:12" x14ac:dyDescent="0.25">
      <c r="D258" s="47"/>
      <c r="H258" s="38"/>
      <c r="I258" s="38"/>
      <c r="J258" s="38"/>
      <c r="K258" s="38"/>
      <c r="L258" s="38"/>
    </row>
    <row r="259" spans="4:12" x14ac:dyDescent="0.25">
      <c r="D259" s="47"/>
      <c r="H259" s="38"/>
      <c r="I259" s="38"/>
      <c r="J259" s="38"/>
      <c r="K259" s="38"/>
      <c r="L259" s="38"/>
    </row>
    <row r="260" spans="4:12" x14ac:dyDescent="0.25">
      <c r="D260" s="47"/>
      <c r="H260" s="38"/>
      <c r="I260" s="38"/>
      <c r="J260" s="38"/>
      <c r="K260" s="38"/>
      <c r="L260" s="38"/>
    </row>
    <row r="261" spans="4:12" x14ac:dyDescent="0.25">
      <c r="D261" s="47"/>
      <c r="H261" s="38"/>
      <c r="I261" s="38"/>
      <c r="J261" s="38"/>
      <c r="K261" s="38"/>
      <c r="L261" s="38"/>
    </row>
    <row r="262" spans="4:12" x14ac:dyDescent="0.25">
      <c r="D262" s="47"/>
      <c r="H262" s="38"/>
      <c r="I262" s="38"/>
      <c r="J262" s="38"/>
      <c r="K262" s="38"/>
      <c r="L262" s="38"/>
    </row>
    <row r="263" spans="4:12" x14ac:dyDescent="0.25">
      <c r="D263" s="47"/>
      <c r="H263" s="38"/>
      <c r="I263" s="38"/>
      <c r="J263" s="38"/>
      <c r="K263" s="38"/>
      <c r="L263" s="38"/>
    </row>
    <row r="264" spans="4:12" x14ac:dyDescent="0.25">
      <c r="D264" s="47"/>
      <c r="H264" s="38"/>
      <c r="I264" s="38"/>
      <c r="J264" s="38"/>
      <c r="K264" s="38"/>
      <c r="L264" s="38"/>
    </row>
    <row r="265" spans="4:12" x14ac:dyDescent="0.25">
      <c r="D265" s="47"/>
      <c r="H265" s="38"/>
      <c r="I265" s="38"/>
      <c r="J265" s="38"/>
      <c r="K265" s="38"/>
      <c r="L265" s="38"/>
    </row>
    <row r="266" spans="4:12" x14ac:dyDescent="0.25">
      <c r="D266" s="47"/>
      <c r="H266" s="38"/>
      <c r="I266" s="38"/>
      <c r="J266" s="38"/>
      <c r="K266" s="38"/>
      <c r="L266" s="38"/>
    </row>
    <row r="267" spans="4:12" x14ac:dyDescent="0.25">
      <c r="D267" s="47"/>
      <c r="H267" s="38"/>
      <c r="I267" s="38"/>
      <c r="J267" s="38"/>
      <c r="K267" s="38"/>
      <c r="L267" s="38"/>
    </row>
    <row r="268" spans="4:12" x14ac:dyDescent="0.25">
      <c r="D268" s="47"/>
      <c r="H268" s="38"/>
      <c r="I268" s="38"/>
      <c r="J268" s="38"/>
      <c r="K268" s="38"/>
      <c r="L268" s="38"/>
    </row>
    <row r="269" spans="4:12" x14ac:dyDescent="0.25">
      <c r="D269" s="47"/>
      <c r="H269" s="38"/>
      <c r="I269" s="38"/>
      <c r="J269" s="38"/>
      <c r="K269" s="38"/>
      <c r="L269" s="38"/>
    </row>
    <row r="270" spans="4:12" x14ac:dyDescent="0.25">
      <c r="D270" s="47"/>
      <c r="H270" s="38"/>
      <c r="I270" s="38"/>
      <c r="J270" s="38"/>
      <c r="K270" s="38"/>
      <c r="L270" s="38"/>
    </row>
    <row r="271" spans="4:12" x14ac:dyDescent="0.25">
      <c r="D271" s="47"/>
      <c r="H271" s="38"/>
      <c r="I271" s="38"/>
      <c r="J271" s="38"/>
      <c r="K271" s="38"/>
      <c r="L271" s="38"/>
    </row>
    <row r="272" spans="4:12" x14ac:dyDescent="0.25">
      <c r="D272" s="47"/>
      <c r="H272" s="38"/>
      <c r="I272" s="38"/>
      <c r="J272" s="38"/>
      <c r="K272" s="38"/>
      <c r="L272" s="38"/>
    </row>
    <row r="273" spans="4:12" x14ac:dyDescent="0.25">
      <c r="D273" s="47"/>
      <c r="H273" s="38"/>
      <c r="I273" s="38"/>
      <c r="J273" s="38"/>
      <c r="K273" s="38"/>
      <c r="L273" s="38"/>
    </row>
    <row r="274" spans="4:12" x14ac:dyDescent="0.25">
      <c r="D274" s="47"/>
      <c r="H274" s="38"/>
      <c r="I274" s="38"/>
      <c r="J274" s="38"/>
      <c r="K274" s="38"/>
      <c r="L274" s="38"/>
    </row>
    <row r="275" spans="4:12" x14ac:dyDescent="0.25">
      <c r="D275" s="47"/>
      <c r="H275" s="38"/>
      <c r="I275" s="38"/>
      <c r="J275" s="38"/>
      <c r="K275" s="38"/>
      <c r="L275" s="38"/>
    </row>
    <row r="276" spans="4:12" x14ac:dyDescent="0.25">
      <c r="D276" s="47"/>
      <c r="H276" s="38"/>
      <c r="I276" s="38"/>
      <c r="J276" s="38"/>
      <c r="K276" s="38"/>
      <c r="L276" s="38"/>
    </row>
    <row r="277" spans="4:12" x14ac:dyDescent="0.25">
      <c r="D277" s="47"/>
      <c r="H277" s="38"/>
      <c r="I277" s="38"/>
      <c r="J277" s="38"/>
      <c r="K277" s="38"/>
      <c r="L277" s="38"/>
    </row>
    <row r="278" spans="4:12" x14ac:dyDescent="0.25">
      <c r="D278" s="47"/>
      <c r="H278" s="38"/>
      <c r="I278" s="38"/>
      <c r="J278" s="38"/>
      <c r="K278" s="38"/>
      <c r="L278" s="38"/>
    </row>
    <row r="279" spans="4:12" x14ac:dyDescent="0.25">
      <c r="D279" s="47"/>
      <c r="H279" s="38"/>
      <c r="I279" s="38"/>
      <c r="J279" s="38"/>
      <c r="K279" s="38"/>
      <c r="L279" s="38"/>
    </row>
    <row r="280" spans="4:12" x14ac:dyDescent="0.25">
      <c r="D280" s="47"/>
      <c r="H280" s="38"/>
      <c r="I280" s="38"/>
      <c r="J280" s="38"/>
      <c r="K280" s="38"/>
      <c r="L280" s="38"/>
    </row>
    <row r="281" spans="4:12" x14ac:dyDescent="0.25">
      <c r="D281" s="47"/>
      <c r="H281" s="38"/>
      <c r="I281" s="38"/>
      <c r="J281" s="38"/>
      <c r="K281" s="38"/>
      <c r="L281" s="38"/>
    </row>
    <row r="282" spans="4:12" x14ac:dyDescent="0.25">
      <c r="D282" s="47"/>
      <c r="H282" s="38"/>
      <c r="I282" s="38"/>
      <c r="J282" s="38"/>
      <c r="K282" s="38"/>
      <c r="L282" s="38"/>
    </row>
    <row r="283" spans="4:12" x14ac:dyDescent="0.25">
      <c r="D283" s="47"/>
      <c r="H283" s="38"/>
      <c r="I283" s="38"/>
      <c r="J283" s="38"/>
      <c r="K283" s="38"/>
      <c r="L283" s="38"/>
    </row>
    <row r="284" spans="4:12" x14ac:dyDescent="0.25">
      <c r="D284" s="47"/>
      <c r="H284" s="38"/>
      <c r="I284" s="38"/>
      <c r="J284" s="38"/>
      <c r="K284" s="38"/>
      <c r="L284" s="38"/>
    </row>
    <row r="285" spans="4:12" x14ac:dyDescent="0.25">
      <c r="D285" s="47"/>
      <c r="H285" s="38"/>
      <c r="I285" s="38"/>
      <c r="J285" s="38"/>
      <c r="K285" s="38"/>
      <c r="L285" s="38"/>
    </row>
    <row r="286" spans="4:12" x14ac:dyDescent="0.25">
      <c r="D286" s="47"/>
      <c r="H286" s="38"/>
      <c r="I286" s="38"/>
      <c r="J286" s="38"/>
      <c r="K286" s="38"/>
      <c r="L286" s="38"/>
    </row>
    <row r="287" spans="4:12" x14ac:dyDescent="0.25">
      <c r="D287" s="47"/>
      <c r="H287" s="38"/>
      <c r="I287" s="38"/>
      <c r="J287" s="38"/>
      <c r="K287" s="38"/>
      <c r="L287" s="38"/>
    </row>
    <row r="288" spans="4:12" x14ac:dyDescent="0.25">
      <c r="D288" s="47"/>
      <c r="H288" s="38"/>
      <c r="I288" s="38"/>
      <c r="J288" s="38"/>
      <c r="K288" s="38"/>
      <c r="L288" s="38"/>
    </row>
    <row r="289" spans="4:12" x14ac:dyDescent="0.25">
      <c r="D289" s="47"/>
      <c r="H289" s="38"/>
      <c r="I289" s="38"/>
      <c r="J289" s="38"/>
      <c r="K289" s="38"/>
      <c r="L289" s="38"/>
    </row>
    <row r="290" spans="4:12" x14ac:dyDescent="0.25">
      <c r="D290" s="47"/>
      <c r="H290" s="38"/>
      <c r="I290" s="38"/>
      <c r="J290" s="38"/>
      <c r="K290" s="38"/>
      <c r="L290" s="38"/>
    </row>
    <row r="291" spans="4:12" x14ac:dyDescent="0.25">
      <c r="D291" s="47"/>
      <c r="H291" s="38"/>
      <c r="I291" s="38"/>
      <c r="J291" s="38"/>
      <c r="K291" s="38"/>
      <c r="L291" s="38"/>
    </row>
    <row r="292" spans="4:12" x14ac:dyDescent="0.25">
      <c r="D292" s="47"/>
      <c r="H292" s="38"/>
      <c r="I292" s="38"/>
      <c r="J292" s="38"/>
      <c r="K292" s="38"/>
      <c r="L292" s="38"/>
    </row>
    <row r="293" spans="4:12" x14ac:dyDescent="0.25">
      <c r="D293" s="47"/>
      <c r="H293" s="38"/>
      <c r="I293" s="38"/>
      <c r="J293" s="38"/>
      <c r="K293" s="38"/>
      <c r="L293" s="38"/>
    </row>
    <row r="294" spans="4:12" x14ac:dyDescent="0.25">
      <c r="D294" s="47"/>
      <c r="H294" s="38"/>
      <c r="I294" s="38"/>
      <c r="J294" s="38"/>
      <c r="K294" s="38"/>
      <c r="L294" s="38"/>
    </row>
    <row r="295" spans="4:12" x14ac:dyDescent="0.25">
      <c r="D295" s="47"/>
      <c r="H295" s="38"/>
      <c r="I295" s="38"/>
      <c r="J295" s="38"/>
      <c r="K295" s="38"/>
      <c r="L295" s="38"/>
    </row>
    <row r="296" spans="4:12" x14ac:dyDescent="0.25">
      <c r="D296" s="47"/>
      <c r="H296" s="38"/>
      <c r="I296" s="38"/>
      <c r="J296" s="38"/>
      <c r="K296" s="38"/>
      <c r="L296" s="38"/>
    </row>
    <row r="297" spans="4:12" x14ac:dyDescent="0.25">
      <c r="D297" s="47"/>
      <c r="H297" s="38"/>
      <c r="I297" s="38"/>
      <c r="J297" s="38"/>
      <c r="K297" s="38"/>
      <c r="L297" s="38"/>
    </row>
    <row r="298" spans="4:12" x14ac:dyDescent="0.25">
      <c r="D298" s="47"/>
      <c r="H298" s="38"/>
      <c r="I298" s="38"/>
      <c r="J298" s="38"/>
      <c r="K298" s="38"/>
      <c r="L298" s="38"/>
    </row>
    <row r="299" spans="4:12" x14ac:dyDescent="0.25">
      <c r="D299" s="47"/>
      <c r="H299" s="38"/>
      <c r="I299" s="38"/>
      <c r="J299" s="38"/>
      <c r="K299" s="38"/>
      <c r="L299" s="38"/>
    </row>
    <row r="300" spans="4:12" x14ac:dyDescent="0.25">
      <c r="D300" s="47"/>
      <c r="H300" s="38"/>
      <c r="I300" s="38"/>
      <c r="J300" s="38"/>
      <c r="K300" s="38"/>
      <c r="L300" s="38"/>
    </row>
    <row r="301" spans="4:12" x14ac:dyDescent="0.25">
      <c r="D301" s="47"/>
      <c r="H301" s="38"/>
      <c r="I301" s="38"/>
      <c r="J301" s="38"/>
      <c r="K301" s="38"/>
      <c r="L301" s="38"/>
    </row>
    <row r="302" spans="4:12" x14ac:dyDescent="0.25">
      <c r="D302" s="47"/>
      <c r="H302" s="38"/>
      <c r="I302" s="38"/>
      <c r="J302" s="38"/>
      <c r="K302" s="38"/>
      <c r="L302" s="38"/>
    </row>
    <row r="303" spans="4:12" x14ac:dyDescent="0.25">
      <c r="D303" s="47"/>
      <c r="H303" s="38"/>
      <c r="I303" s="38"/>
      <c r="J303" s="38"/>
      <c r="K303" s="38"/>
      <c r="L303" s="38"/>
    </row>
    <row r="304" spans="4:12" x14ac:dyDescent="0.25">
      <c r="D304" s="47"/>
      <c r="H304" s="38"/>
      <c r="I304" s="38"/>
      <c r="J304" s="38"/>
      <c r="K304" s="38"/>
      <c r="L304" s="38"/>
    </row>
    <row r="305" spans="4:12" x14ac:dyDescent="0.25">
      <c r="D305" s="47"/>
      <c r="H305" s="38"/>
      <c r="I305" s="38"/>
      <c r="J305" s="38"/>
      <c r="K305" s="38"/>
      <c r="L305" s="38"/>
    </row>
    <row r="306" spans="4:12" x14ac:dyDescent="0.25">
      <c r="D306" s="47"/>
      <c r="H306" s="38"/>
      <c r="I306" s="38"/>
      <c r="J306" s="38"/>
      <c r="K306" s="38"/>
      <c r="L306" s="38"/>
    </row>
    <row r="307" spans="4:12" x14ac:dyDescent="0.25">
      <c r="D307" s="47"/>
      <c r="H307" s="38"/>
      <c r="I307" s="38"/>
      <c r="J307" s="38"/>
      <c r="K307" s="38"/>
      <c r="L307" s="38"/>
    </row>
    <row r="308" spans="4:12" x14ac:dyDescent="0.25">
      <c r="D308" s="47"/>
      <c r="H308" s="38"/>
      <c r="I308" s="38"/>
      <c r="J308" s="38"/>
      <c r="K308" s="38"/>
      <c r="L308" s="38"/>
    </row>
    <row r="309" spans="4:12" x14ac:dyDescent="0.25">
      <c r="D309" s="47"/>
      <c r="H309" s="38"/>
      <c r="I309" s="38"/>
      <c r="J309" s="38"/>
      <c r="K309" s="38"/>
      <c r="L309" s="38"/>
    </row>
    <row r="310" spans="4:12" x14ac:dyDescent="0.25">
      <c r="D310" s="47"/>
      <c r="H310" s="38"/>
      <c r="I310" s="38"/>
      <c r="J310" s="38"/>
      <c r="K310" s="38"/>
      <c r="L310" s="38"/>
    </row>
    <row r="311" spans="4:12" x14ac:dyDescent="0.25">
      <c r="D311" s="47"/>
      <c r="H311" s="38"/>
      <c r="I311" s="38"/>
      <c r="J311" s="38"/>
      <c r="K311" s="38"/>
      <c r="L311" s="38"/>
    </row>
    <row r="312" spans="4:12" x14ac:dyDescent="0.25">
      <c r="D312" s="47"/>
      <c r="H312" s="38"/>
      <c r="I312" s="38"/>
      <c r="J312" s="38"/>
      <c r="K312" s="38"/>
      <c r="L312" s="38"/>
    </row>
    <row r="313" spans="4:12" x14ac:dyDescent="0.25">
      <c r="D313" s="47"/>
      <c r="H313" s="38"/>
      <c r="I313" s="38"/>
      <c r="J313" s="38"/>
      <c r="K313" s="38"/>
      <c r="L313" s="38"/>
    </row>
    <row r="314" spans="4:12" x14ac:dyDescent="0.25">
      <c r="D314" s="47"/>
      <c r="H314" s="38"/>
      <c r="I314" s="38"/>
      <c r="J314" s="38"/>
      <c r="K314" s="38"/>
      <c r="L314" s="38"/>
    </row>
    <row r="315" spans="4:12" x14ac:dyDescent="0.25">
      <c r="D315" s="47"/>
      <c r="H315" s="38"/>
      <c r="I315" s="38"/>
      <c r="J315" s="38"/>
      <c r="K315" s="38"/>
      <c r="L315" s="38"/>
    </row>
    <row r="316" spans="4:12" x14ac:dyDescent="0.25">
      <c r="D316" s="47"/>
      <c r="H316" s="38"/>
      <c r="I316" s="38"/>
      <c r="J316" s="38"/>
      <c r="K316" s="38"/>
      <c r="L316" s="38"/>
    </row>
    <row r="317" spans="4:12" x14ac:dyDescent="0.25">
      <c r="D317" s="47"/>
      <c r="H317" s="38"/>
      <c r="I317" s="38"/>
      <c r="J317" s="38"/>
      <c r="K317" s="38"/>
      <c r="L317" s="38"/>
    </row>
    <row r="318" spans="4:12" x14ac:dyDescent="0.25">
      <c r="D318" s="47"/>
      <c r="H318" s="38"/>
      <c r="I318" s="38"/>
      <c r="J318" s="38"/>
      <c r="K318" s="38"/>
      <c r="L318" s="38"/>
    </row>
    <row r="319" spans="4:12" x14ac:dyDescent="0.25">
      <c r="D319" s="47"/>
      <c r="H319" s="38"/>
      <c r="I319" s="38"/>
      <c r="J319" s="38"/>
      <c r="K319" s="38"/>
      <c r="L319" s="38"/>
    </row>
    <row r="320" spans="4:12" x14ac:dyDescent="0.25">
      <c r="D320" s="47"/>
      <c r="H320" s="38"/>
      <c r="I320" s="38"/>
      <c r="J320" s="38"/>
      <c r="K320" s="38"/>
      <c r="L320" s="38"/>
    </row>
    <row r="321" spans="4:12" x14ac:dyDescent="0.25">
      <c r="D321" s="47"/>
      <c r="H321" s="38"/>
      <c r="I321" s="38"/>
      <c r="J321" s="38"/>
      <c r="K321" s="38"/>
      <c r="L321" s="38"/>
    </row>
    <row r="322" spans="4:12" x14ac:dyDescent="0.25">
      <c r="D322" s="47"/>
      <c r="H322" s="38"/>
      <c r="I322" s="38"/>
      <c r="J322" s="38"/>
      <c r="K322" s="38"/>
      <c r="L322" s="38"/>
    </row>
    <row r="323" spans="4:12" x14ac:dyDescent="0.25">
      <c r="D323" s="47"/>
      <c r="H323" s="38"/>
      <c r="I323" s="38"/>
      <c r="J323" s="38"/>
      <c r="K323" s="38"/>
      <c r="L323" s="38"/>
    </row>
    <row r="324" spans="4:12" x14ac:dyDescent="0.25">
      <c r="D324" s="47"/>
      <c r="H324" s="38"/>
      <c r="I324" s="38"/>
      <c r="J324" s="38"/>
      <c r="K324" s="38"/>
      <c r="L324" s="38"/>
    </row>
    <row r="325" spans="4:12" x14ac:dyDescent="0.25">
      <c r="D325" s="47"/>
      <c r="H325" s="38"/>
      <c r="I325" s="38"/>
      <c r="J325" s="38"/>
      <c r="K325" s="38"/>
      <c r="L325" s="38"/>
    </row>
    <row r="326" spans="4:12" x14ac:dyDescent="0.25">
      <c r="D326" s="47"/>
      <c r="H326" s="38"/>
      <c r="I326" s="38"/>
      <c r="J326" s="38"/>
      <c r="K326" s="38"/>
      <c r="L326" s="38"/>
    </row>
    <row r="327" spans="4:12" x14ac:dyDescent="0.25">
      <c r="D327" s="47"/>
      <c r="H327" s="38"/>
      <c r="I327" s="38"/>
      <c r="J327" s="38"/>
      <c r="K327" s="38"/>
      <c r="L327" s="38"/>
    </row>
    <row r="328" spans="4:12" x14ac:dyDescent="0.25">
      <c r="D328" s="47"/>
      <c r="H328" s="38"/>
      <c r="I328" s="38"/>
      <c r="J328" s="38"/>
      <c r="K328" s="38"/>
      <c r="L328" s="38"/>
    </row>
    <row r="329" spans="4:12" x14ac:dyDescent="0.25">
      <c r="D329" s="47"/>
      <c r="H329" s="38"/>
      <c r="I329" s="38"/>
      <c r="J329" s="38"/>
      <c r="K329" s="38"/>
      <c r="L329" s="38"/>
    </row>
    <row r="330" spans="4:12" x14ac:dyDescent="0.25">
      <c r="D330" s="47"/>
      <c r="H330" s="38"/>
      <c r="I330" s="38"/>
      <c r="J330" s="38"/>
      <c r="K330" s="38"/>
      <c r="L330" s="38"/>
    </row>
    <row r="331" spans="4:12" x14ac:dyDescent="0.25">
      <c r="D331" s="47"/>
      <c r="H331" s="38"/>
      <c r="I331" s="38"/>
      <c r="J331" s="38"/>
      <c r="K331" s="38"/>
      <c r="L331" s="38"/>
    </row>
    <row r="332" spans="4:12" x14ac:dyDescent="0.25">
      <c r="D332" s="47"/>
      <c r="H332" s="38"/>
      <c r="I332" s="38"/>
      <c r="J332" s="38"/>
      <c r="K332" s="38"/>
      <c r="L332" s="38"/>
    </row>
    <row r="333" spans="4:12" x14ac:dyDescent="0.25">
      <c r="D333" s="47"/>
      <c r="H333" s="38"/>
      <c r="I333" s="38"/>
      <c r="J333" s="38"/>
      <c r="K333" s="38"/>
      <c r="L333" s="38"/>
    </row>
    <row r="334" spans="4:12" x14ac:dyDescent="0.25">
      <c r="D334" s="47"/>
      <c r="H334" s="38"/>
      <c r="I334" s="38"/>
      <c r="J334" s="38"/>
      <c r="K334" s="38"/>
      <c r="L334" s="38"/>
    </row>
    <row r="335" spans="4:12" x14ac:dyDescent="0.25">
      <c r="D335" s="47"/>
      <c r="H335" s="38"/>
      <c r="I335" s="38"/>
      <c r="J335" s="38"/>
      <c r="K335" s="38"/>
      <c r="L335" s="38"/>
    </row>
    <row r="336" spans="4:12" x14ac:dyDescent="0.25">
      <c r="D336" s="47"/>
      <c r="H336" s="38"/>
      <c r="I336" s="38"/>
      <c r="J336" s="38"/>
      <c r="K336" s="38"/>
      <c r="L336" s="38"/>
    </row>
    <row r="337" spans="4:12" x14ac:dyDescent="0.25">
      <c r="D337" s="47"/>
      <c r="H337" s="38"/>
      <c r="I337" s="38"/>
      <c r="J337" s="38"/>
      <c r="K337" s="38"/>
      <c r="L337" s="38"/>
    </row>
    <row r="338" spans="4:12" x14ac:dyDescent="0.25">
      <c r="D338" s="47"/>
      <c r="H338" s="38"/>
      <c r="I338" s="38"/>
      <c r="J338" s="38"/>
      <c r="K338" s="38"/>
      <c r="L338" s="38"/>
    </row>
    <row r="339" spans="4:12" x14ac:dyDescent="0.25">
      <c r="D339" s="47"/>
      <c r="H339" s="38"/>
      <c r="I339" s="38"/>
      <c r="J339" s="38"/>
      <c r="K339" s="38"/>
      <c r="L339" s="38"/>
    </row>
    <row r="340" spans="4:12" x14ac:dyDescent="0.25">
      <c r="D340" s="47"/>
      <c r="H340" s="38"/>
      <c r="I340" s="38"/>
      <c r="J340" s="38"/>
      <c r="K340" s="38"/>
      <c r="L340" s="38"/>
    </row>
    <row r="341" spans="4:12" x14ac:dyDescent="0.25">
      <c r="D341" s="47"/>
      <c r="H341" s="38"/>
      <c r="I341" s="38"/>
      <c r="J341" s="38"/>
      <c r="K341" s="38"/>
      <c r="L341" s="38"/>
    </row>
    <row r="342" spans="4:12" x14ac:dyDescent="0.25">
      <c r="D342" s="47"/>
      <c r="H342" s="38"/>
      <c r="I342" s="38"/>
      <c r="J342" s="38"/>
      <c r="K342" s="38"/>
      <c r="L342" s="38"/>
    </row>
    <row r="343" spans="4:12" x14ac:dyDescent="0.25">
      <c r="D343" s="47"/>
      <c r="H343" s="38"/>
      <c r="I343" s="38"/>
      <c r="J343" s="38"/>
      <c r="K343" s="38"/>
      <c r="L343" s="38"/>
    </row>
    <row r="344" spans="4:12" x14ac:dyDescent="0.25">
      <c r="D344" s="47"/>
      <c r="H344" s="38"/>
      <c r="I344" s="38"/>
      <c r="J344" s="38"/>
      <c r="K344" s="38"/>
      <c r="L344" s="38"/>
    </row>
    <row r="345" spans="4:12" x14ac:dyDescent="0.25">
      <c r="D345" s="47"/>
      <c r="H345" s="38"/>
      <c r="I345" s="38"/>
      <c r="J345" s="38"/>
      <c r="K345" s="38"/>
      <c r="L345" s="38"/>
    </row>
    <row r="346" spans="4:12" x14ac:dyDescent="0.25">
      <c r="D346" s="47"/>
      <c r="H346" s="38"/>
      <c r="I346" s="38"/>
      <c r="J346" s="38"/>
      <c r="K346" s="38"/>
      <c r="L346" s="38"/>
    </row>
    <row r="347" spans="4:12" x14ac:dyDescent="0.25">
      <c r="D347" s="47"/>
      <c r="H347" s="38"/>
      <c r="I347" s="38"/>
      <c r="J347" s="38"/>
      <c r="K347" s="38"/>
      <c r="L347" s="38"/>
    </row>
    <row r="348" spans="4:12" x14ac:dyDescent="0.25">
      <c r="D348" s="47"/>
      <c r="H348" s="38"/>
      <c r="I348" s="38"/>
      <c r="J348" s="38"/>
      <c r="K348" s="38"/>
      <c r="L348" s="38"/>
    </row>
    <row r="349" spans="4:12" x14ac:dyDescent="0.25">
      <c r="D349" s="47"/>
      <c r="H349" s="38"/>
      <c r="I349" s="38"/>
      <c r="J349" s="38"/>
      <c r="K349" s="38"/>
      <c r="L349" s="38"/>
    </row>
    <row r="350" spans="4:12" x14ac:dyDescent="0.25">
      <c r="D350" s="47"/>
      <c r="H350" s="38"/>
      <c r="I350" s="38"/>
      <c r="J350" s="38"/>
      <c r="K350" s="38"/>
      <c r="L350" s="38"/>
    </row>
    <row r="351" spans="4:12" x14ac:dyDescent="0.25">
      <c r="D351" s="47"/>
      <c r="H351" s="38"/>
      <c r="I351" s="38"/>
      <c r="J351" s="38"/>
      <c r="K351" s="38"/>
      <c r="L351" s="38"/>
    </row>
    <row r="352" spans="4:12" x14ac:dyDescent="0.25">
      <c r="D352" s="47"/>
      <c r="H352" s="38"/>
      <c r="I352" s="38"/>
      <c r="J352" s="38"/>
      <c r="K352" s="38"/>
      <c r="L352" s="38"/>
    </row>
    <row r="353" spans="4:12" x14ac:dyDescent="0.25">
      <c r="D353" s="47"/>
      <c r="H353" s="38"/>
      <c r="I353" s="38"/>
      <c r="J353" s="38"/>
      <c r="K353" s="38"/>
      <c r="L353" s="38"/>
    </row>
    <row r="354" spans="4:12" x14ac:dyDescent="0.25">
      <c r="D354" s="47"/>
      <c r="H354" s="38"/>
      <c r="I354" s="38"/>
      <c r="J354" s="38"/>
      <c r="K354" s="38"/>
      <c r="L354" s="38"/>
    </row>
    <row r="355" spans="4:12" x14ac:dyDescent="0.25">
      <c r="D355" s="47"/>
      <c r="H355" s="38"/>
      <c r="I355" s="38"/>
      <c r="J355" s="38"/>
      <c r="K355" s="38"/>
      <c r="L355" s="38"/>
    </row>
    <row r="356" spans="4:12" x14ac:dyDescent="0.25">
      <c r="D356" s="47"/>
      <c r="H356" s="38"/>
      <c r="I356" s="38"/>
      <c r="J356" s="38"/>
      <c r="K356" s="38"/>
      <c r="L356" s="38"/>
    </row>
    <row r="357" spans="4:12" x14ac:dyDescent="0.25">
      <c r="D357" s="47"/>
      <c r="H357" s="38"/>
      <c r="I357" s="38"/>
      <c r="J357" s="38"/>
      <c r="K357" s="38"/>
      <c r="L357" s="38"/>
    </row>
    <row r="358" spans="4:12" x14ac:dyDescent="0.25">
      <c r="D358" s="47"/>
      <c r="H358" s="38"/>
      <c r="I358" s="38"/>
      <c r="J358" s="38"/>
      <c r="K358" s="38"/>
      <c r="L358" s="38"/>
    </row>
    <row r="359" spans="4:12" x14ac:dyDescent="0.25">
      <c r="D359" s="47"/>
      <c r="H359" s="38"/>
      <c r="I359" s="38"/>
      <c r="J359" s="38"/>
      <c r="K359" s="38"/>
      <c r="L359" s="38"/>
    </row>
    <row r="360" spans="4:12" x14ac:dyDescent="0.25">
      <c r="D360" s="47"/>
      <c r="H360" s="38"/>
      <c r="I360" s="38"/>
      <c r="J360" s="38"/>
      <c r="K360" s="38"/>
      <c r="L360" s="38"/>
    </row>
    <row r="361" spans="4:12" x14ac:dyDescent="0.25">
      <c r="D361" s="47"/>
      <c r="H361" s="38"/>
      <c r="I361" s="38"/>
      <c r="J361" s="38"/>
      <c r="K361" s="38"/>
      <c r="L361" s="38"/>
    </row>
    <row r="362" spans="4:12" x14ac:dyDescent="0.25">
      <c r="D362" s="47"/>
      <c r="H362" s="38"/>
      <c r="I362" s="38"/>
      <c r="J362" s="38"/>
      <c r="K362" s="38"/>
      <c r="L362" s="38"/>
    </row>
    <row r="363" spans="4:12" x14ac:dyDescent="0.25">
      <c r="D363" s="47"/>
      <c r="H363" s="38"/>
      <c r="I363" s="38"/>
      <c r="J363" s="38"/>
      <c r="K363" s="38"/>
      <c r="L363" s="38"/>
    </row>
    <row r="364" spans="4:12" x14ac:dyDescent="0.25">
      <c r="D364" s="47"/>
      <c r="H364" s="38"/>
      <c r="I364" s="38"/>
      <c r="J364" s="38"/>
      <c r="K364" s="38"/>
      <c r="L364" s="38"/>
    </row>
    <row r="365" spans="4:12" x14ac:dyDescent="0.25">
      <c r="D365" s="47"/>
      <c r="H365" s="38"/>
      <c r="I365" s="38"/>
      <c r="J365" s="38"/>
      <c r="K365" s="38"/>
      <c r="L365" s="38"/>
    </row>
    <row r="366" spans="4:12" x14ac:dyDescent="0.25">
      <c r="D366" s="47"/>
      <c r="H366" s="38"/>
      <c r="I366" s="38"/>
      <c r="J366" s="38"/>
      <c r="K366" s="38"/>
      <c r="L366" s="38"/>
    </row>
    <row r="367" spans="4:12" x14ac:dyDescent="0.25">
      <c r="D367" s="47"/>
      <c r="H367" s="38"/>
      <c r="I367" s="38"/>
      <c r="J367" s="38"/>
      <c r="K367" s="38"/>
      <c r="L367" s="38"/>
    </row>
    <row r="368" spans="4:12" x14ac:dyDescent="0.25">
      <c r="D368" s="47"/>
      <c r="H368" s="38"/>
      <c r="I368" s="38"/>
      <c r="J368" s="38"/>
      <c r="K368" s="38"/>
      <c r="L368" s="38"/>
    </row>
    <row r="369" spans="4:12" x14ac:dyDescent="0.25">
      <c r="D369" s="47"/>
      <c r="H369" s="38"/>
      <c r="I369" s="38"/>
      <c r="J369" s="38"/>
      <c r="K369" s="38"/>
      <c r="L369" s="38"/>
    </row>
    <row r="370" spans="4:12" x14ac:dyDescent="0.25">
      <c r="D370" s="47"/>
      <c r="H370" s="38"/>
      <c r="I370" s="38"/>
      <c r="J370" s="38"/>
      <c r="K370" s="38"/>
      <c r="L370" s="38"/>
    </row>
    <row r="371" spans="4:12" x14ac:dyDescent="0.25">
      <c r="D371" s="47"/>
      <c r="H371" s="38"/>
      <c r="I371" s="38"/>
      <c r="J371" s="38"/>
      <c r="K371" s="38"/>
      <c r="L371" s="38"/>
    </row>
    <row r="372" spans="4:12" x14ac:dyDescent="0.25">
      <c r="D372" s="47"/>
      <c r="H372" s="38"/>
      <c r="I372" s="38"/>
      <c r="J372" s="38"/>
      <c r="K372" s="38"/>
      <c r="L372" s="38"/>
    </row>
    <row r="373" spans="4:12" x14ac:dyDescent="0.25">
      <c r="D373" s="47"/>
      <c r="H373" s="38"/>
      <c r="I373" s="38"/>
      <c r="J373" s="38"/>
      <c r="K373" s="38"/>
      <c r="L373" s="38"/>
    </row>
    <row r="374" spans="4:12" x14ac:dyDescent="0.25">
      <c r="D374" s="47"/>
      <c r="H374" s="38"/>
      <c r="I374" s="38"/>
      <c r="J374" s="38"/>
      <c r="K374" s="38"/>
      <c r="L374" s="38"/>
    </row>
    <row r="375" spans="4:12" x14ac:dyDescent="0.25">
      <c r="D375" s="47"/>
      <c r="H375" s="38"/>
      <c r="I375" s="38"/>
      <c r="J375" s="38"/>
      <c r="K375" s="38"/>
      <c r="L375" s="38"/>
    </row>
    <row r="376" spans="4:12" x14ac:dyDescent="0.25">
      <c r="D376" s="47"/>
      <c r="H376" s="38"/>
      <c r="I376" s="38"/>
      <c r="J376" s="38"/>
      <c r="K376" s="38"/>
      <c r="L376" s="38"/>
    </row>
    <row r="377" spans="4:12" x14ac:dyDescent="0.25">
      <c r="D377" s="47"/>
      <c r="H377" s="38"/>
      <c r="I377" s="38"/>
      <c r="J377" s="38"/>
      <c r="K377" s="38"/>
      <c r="L377" s="38"/>
    </row>
    <row r="378" spans="4:12" x14ac:dyDescent="0.25">
      <c r="D378" s="47"/>
      <c r="H378" s="38"/>
      <c r="I378" s="38"/>
      <c r="J378" s="38"/>
      <c r="K378" s="38"/>
      <c r="L378" s="38"/>
    </row>
    <row r="379" spans="4:12" x14ac:dyDescent="0.25">
      <c r="D379" s="47"/>
      <c r="H379" s="38"/>
      <c r="I379" s="38"/>
      <c r="J379" s="38"/>
      <c r="K379" s="38"/>
      <c r="L379" s="38"/>
    </row>
    <row r="380" spans="4:12" x14ac:dyDescent="0.25">
      <c r="D380" s="47"/>
      <c r="H380" s="38"/>
      <c r="I380" s="38"/>
      <c r="J380" s="38"/>
      <c r="K380" s="38"/>
      <c r="L380" s="38"/>
    </row>
    <row r="381" spans="4:12" x14ac:dyDescent="0.25">
      <c r="D381" s="47"/>
      <c r="H381" s="38"/>
      <c r="I381" s="38"/>
      <c r="J381" s="38"/>
      <c r="K381" s="38"/>
      <c r="L381" s="38"/>
    </row>
    <row r="382" spans="4:12" x14ac:dyDescent="0.25">
      <c r="D382" s="47"/>
      <c r="H382" s="38"/>
      <c r="I382" s="38"/>
      <c r="J382" s="38"/>
      <c r="K382" s="38"/>
      <c r="L382" s="38"/>
    </row>
    <row r="383" spans="4:12" x14ac:dyDescent="0.25">
      <c r="D383" s="47"/>
      <c r="H383" s="38"/>
      <c r="I383" s="38"/>
      <c r="J383" s="38"/>
      <c r="K383" s="38"/>
      <c r="L383" s="38"/>
    </row>
    <row r="384" spans="4:12" x14ac:dyDescent="0.25">
      <c r="D384" s="47"/>
      <c r="H384" s="38"/>
      <c r="I384" s="38"/>
      <c r="J384" s="38"/>
      <c r="K384" s="38"/>
      <c r="L384" s="38"/>
    </row>
    <row r="385" spans="4:12" x14ac:dyDescent="0.25">
      <c r="D385" s="47"/>
      <c r="H385" s="38"/>
      <c r="I385" s="38"/>
      <c r="J385" s="38"/>
      <c r="K385" s="38"/>
      <c r="L385" s="38"/>
    </row>
    <row r="386" spans="4:12" x14ac:dyDescent="0.25">
      <c r="D386" s="47"/>
      <c r="H386" s="38"/>
      <c r="I386" s="38"/>
      <c r="J386" s="38"/>
      <c r="K386" s="38"/>
      <c r="L386" s="38"/>
    </row>
    <row r="387" spans="4:12" x14ac:dyDescent="0.25">
      <c r="D387" s="47"/>
      <c r="H387" s="38"/>
      <c r="I387" s="38"/>
      <c r="J387" s="38"/>
      <c r="K387" s="38"/>
      <c r="L387" s="38"/>
    </row>
    <row r="388" spans="4:12" x14ac:dyDescent="0.25">
      <c r="D388" s="47"/>
      <c r="H388" s="38"/>
      <c r="I388" s="38"/>
      <c r="J388" s="38"/>
      <c r="K388" s="38"/>
      <c r="L388" s="38"/>
    </row>
    <row r="389" spans="4:12" x14ac:dyDescent="0.25">
      <c r="D389" s="47"/>
      <c r="H389" s="38"/>
      <c r="I389" s="38"/>
      <c r="J389" s="38"/>
      <c r="K389" s="38"/>
      <c r="L389" s="38"/>
    </row>
    <row r="390" spans="4:12" x14ac:dyDescent="0.25">
      <c r="D390" s="47"/>
      <c r="H390" s="38"/>
      <c r="I390" s="38"/>
      <c r="J390" s="38"/>
      <c r="K390" s="38"/>
      <c r="L390" s="38"/>
    </row>
    <row r="391" spans="4:12" x14ac:dyDescent="0.25">
      <c r="D391" s="47"/>
      <c r="H391" s="38"/>
      <c r="I391" s="38"/>
      <c r="J391" s="38"/>
      <c r="K391" s="38"/>
      <c r="L391" s="38"/>
    </row>
    <row r="392" spans="4:12" x14ac:dyDescent="0.25">
      <c r="D392" s="47"/>
      <c r="H392" s="38"/>
      <c r="I392" s="38"/>
      <c r="J392" s="38"/>
      <c r="K392" s="38"/>
      <c r="L392" s="38"/>
    </row>
    <row r="393" spans="4:12" x14ac:dyDescent="0.25">
      <c r="D393" s="47"/>
      <c r="H393" s="38"/>
      <c r="I393" s="38"/>
      <c r="J393" s="38"/>
      <c r="K393" s="38"/>
      <c r="L393" s="38"/>
    </row>
    <row r="394" spans="4:12" x14ac:dyDescent="0.25">
      <c r="D394" s="47"/>
      <c r="H394" s="38"/>
      <c r="I394" s="38"/>
      <c r="J394" s="38"/>
      <c r="K394" s="38"/>
      <c r="L394" s="38"/>
    </row>
    <row r="395" spans="4:12" x14ac:dyDescent="0.25">
      <c r="D395" s="47"/>
      <c r="H395" s="38"/>
      <c r="I395" s="38"/>
      <c r="J395" s="38"/>
      <c r="K395" s="38"/>
      <c r="L395" s="38"/>
    </row>
    <row r="396" spans="4:12" x14ac:dyDescent="0.25">
      <c r="D396" s="47"/>
      <c r="H396" s="38"/>
      <c r="I396" s="38"/>
      <c r="J396" s="38"/>
      <c r="K396" s="38"/>
      <c r="L396" s="38"/>
    </row>
    <row r="397" spans="4:12" x14ac:dyDescent="0.25">
      <c r="D397" s="47"/>
      <c r="H397" s="38"/>
      <c r="I397" s="38"/>
      <c r="J397" s="38"/>
      <c r="K397" s="38"/>
      <c r="L397" s="38"/>
    </row>
    <row r="398" spans="4:12" x14ac:dyDescent="0.25">
      <c r="D398" s="47"/>
      <c r="H398" s="38"/>
      <c r="I398" s="38"/>
      <c r="J398" s="38"/>
      <c r="K398" s="38"/>
      <c r="L398" s="38"/>
    </row>
    <row r="399" spans="4:12" x14ac:dyDescent="0.25">
      <c r="D399" s="47"/>
      <c r="H399" s="38"/>
      <c r="I399" s="38"/>
      <c r="J399" s="38"/>
      <c r="K399" s="38"/>
      <c r="L399" s="38"/>
    </row>
    <row r="400" spans="4:12" x14ac:dyDescent="0.25">
      <c r="D400" s="47"/>
      <c r="H400" s="38"/>
      <c r="I400" s="38"/>
      <c r="J400" s="38"/>
      <c r="K400" s="38"/>
      <c r="L400" s="38"/>
    </row>
    <row r="401" spans="4:12" x14ac:dyDescent="0.25">
      <c r="D401" s="47"/>
      <c r="H401" s="38"/>
      <c r="I401" s="38"/>
      <c r="J401" s="38"/>
      <c r="K401" s="38"/>
      <c r="L401" s="38"/>
    </row>
    <row r="402" spans="4:12" x14ac:dyDescent="0.25">
      <c r="D402" s="47"/>
      <c r="H402" s="38"/>
      <c r="I402" s="38"/>
      <c r="J402" s="38"/>
      <c r="K402" s="38"/>
      <c r="L402" s="38"/>
    </row>
    <row r="403" spans="4:12" x14ac:dyDescent="0.25">
      <c r="D403" s="47"/>
      <c r="H403" s="38"/>
      <c r="I403" s="38"/>
      <c r="J403" s="38"/>
      <c r="K403" s="38"/>
      <c r="L403" s="38"/>
    </row>
    <row r="404" spans="4:12" x14ac:dyDescent="0.25">
      <c r="D404" s="47"/>
      <c r="H404" s="38"/>
      <c r="I404" s="38"/>
      <c r="J404" s="38"/>
      <c r="K404" s="38"/>
      <c r="L404" s="38"/>
    </row>
    <row r="405" spans="4:12" x14ac:dyDescent="0.25">
      <c r="D405" s="47"/>
      <c r="H405" s="38"/>
      <c r="I405" s="38"/>
      <c r="J405" s="38"/>
      <c r="K405" s="38"/>
      <c r="L405" s="38"/>
    </row>
    <row r="406" spans="4:12" x14ac:dyDescent="0.25">
      <c r="D406" s="47"/>
      <c r="H406" s="38"/>
      <c r="I406" s="38"/>
      <c r="J406" s="38"/>
      <c r="K406" s="38"/>
      <c r="L406" s="38"/>
    </row>
    <row r="407" spans="4:12" x14ac:dyDescent="0.25">
      <c r="D407" s="47"/>
      <c r="H407" s="38"/>
      <c r="I407" s="38"/>
      <c r="J407" s="38"/>
      <c r="K407" s="38"/>
      <c r="L407" s="38"/>
    </row>
    <row r="408" spans="4:12" x14ac:dyDescent="0.25">
      <c r="D408" s="47"/>
      <c r="H408" s="38"/>
      <c r="I408" s="38"/>
      <c r="J408" s="38"/>
      <c r="K408" s="38"/>
      <c r="L408" s="38"/>
    </row>
    <row r="409" spans="4:12" x14ac:dyDescent="0.25">
      <c r="D409" s="47"/>
      <c r="H409" s="38"/>
      <c r="I409" s="38"/>
      <c r="J409" s="38"/>
      <c r="K409" s="38"/>
      <c r="L409" s="38"/>
    </row>
    <row r="410" spans="4:12" x14ac:dyDescent="0.25">
      <c r="D410" s="47"/>
      <c r="H410" s="38"/>
      <c r="I410" s="38"/>
      <c r="J410" s="38"/>
      <c r="K410" s="38"/>
      <c r="L410" s="38"/>
    </row>
    <row r="411" spans="4:12" x14ac:dyDescent="0.25">
      <c r="D411" s="47"/>
      <c r="H411" s="38"/>
      <c r="I411" s="38"/>
      <c r="J411" s="38"/>
      <c r="K411" s="38"/>
      <c r="L411" s="38"/>
    </row>
    <row r="412" spans="4:12" x14ac:dyDescent="0.25">
      <c r="D412" s="47"/>
      <c r="H412" s="38"/>
      <c r="I412" s="38"/>
      <c r="J412" s="38"/>
      <c r="K412" s="38"/>
      <c r="L412" s="38"/>
    </row>
    <row r="413" spans="4:12" x14ac:dyDescent="0.25">
      <c r="D413" s="47"/>
      <c r="H413" s="38"/>
      <c r="I413" s="38"/>
      <c r="J413" s="38"/>
      <c r="K413" s="38"/>
      <c r="L413" s="38"/>
    </row>
    <row r="414" spans="4:12" x14ac:dyDescent="0.25">
      <c r="D414" s="47"/>
      <c r="H414" s="38"/>
      <c r="I414" s="38"/>
      <c r="J414" s="38"/>
      <c r="K414" s="38"/>
      <c r="L414" s="38"/>
    </row>
    <row r="415" spans="4:12" x14ac:dyDescent="0.25">
      <c r="D415" s="47"/>
      <c r="H415" s="38"/>
      <c r="I415" s="38"/>
      <c r="J415" s="38"/>
      <c r="K415" s="38"/>
      <c r="L415" s="38"/>
    </row>
    <row r="416" spans="4:12" x14ac:dyDescent="0.25">
      <c r="D416" s="47"/>
      <c r="H416" s="38"/>
      <c r="I416" s="38"/>
      <c r="J416" s="38"/>
      <c r="K416" s="38"/>
      <c r="L416" s="38"/>
    </row>
    <row r="417" spans="4:12" x14ac:dyDescent="0.25">
      <c r="D417" s="47"/>
      <c r="H417" s="38"/>
      <c r="I417" s="38"/>
      <c r="J417" s="38"/>
      <c r="K417" s="38"/>
      <c r="L417" s="38"/>
    </row>
    <row r="418" spans="4:12" x14ac:dyDescent="0.25">
      <c r="D418" s="47"/>
      <c r="H418" s="38"/>
      <c r="I418" s="38"/>
      <c r="J418" s="38"/>
      <c r="K418" s="38"/>
      <c r="L418" s="38"/>
    </row>
    <row r="419" spans="4:12" x14ac:dyDescent="0.25">
      <c r="D419" s="47"/>
      <c r="H419" s="38"/>
      <c r="I419" s="38"/>
      <c r="J419" s="38"/>
      <c r="K419" s="38"/>
      <c r="L419" s="38"/>
    </row>
    <row r="420" spans="4:12" x14ac:dyDescent="0.25">
      <c r="D420" s="47"/>
      <c r="H420" s="38"/>
      <c r="I420" s="38"/>
      <c r="J420" s="38"/>
      <c r="K420" s="38"/>
      <c r="L420" s="38"/>
    </row>
    <row r="421" spans="4:12" x14ac:dyDescent="0.25">
      <c r="D421" s="47"/>
      <c r="H421" s="38"/>
      <c r="I421" s="38"/>
      <c r="J421" s="38"/>
      <c r="K421" s="38"/>
      <c r="L421" s="38"/>
    </row>
    <row r="422" spans="4:12" x14ac:dyDescent="0.25">
      <c r="D422" s="47"/>
      <c r="H422" s="38"/>
      <c r="I422" s="38"/>
      <c r="J422" s="38"/>
      <c r="K422" s="38"/>
      <c r="L422" s="38"/>
    </row>
    <row r="423" spans="4:12" x14ac:dyDescent="0.25">
      <c r="D423" s="47"/>
      <c r="H423" s="38"/>
      <c r="I423" s="38"/>
      <c r="J423" s="38"/>
      <c r="K423" s="38"/>
      <c r="L423" s="38"/>
    </row>
    <row r="424" spans="4:12" x14ac:dyDescent="0.25">
      <c r="D424" s="47"/>
      <c r="H424" s="38"/>
      <c r="I424" s="38"/>
      <c r="J424" s="38"/>
      <c r="K424" s="38"/>
      <c r="L424" s="38"/>
    </row>
    <row r="425" spans="4:12" x14ac:dyDescent="0.25">
      <c r="D425" s="47"/>
      <c r="H425" s="38"/>
      <c r="I425" s="38"/>
      <c r="J425" s="38"/>
      <c r="K425" s="38"/>
      <c r="L425" s="38"/>
    </row>
    <row r="426" spans="4:12" x14ac:dyDescent="0.25">
      <c r="D426" s="47"/>
      <c r="H426" s="38"/>
      <c r="I426" s="38"/>
      <c r="J426" s="38"/>
      <c r="K426" s="38"/>
      <c r="L426" s="38"/>
    </row>
    <row r="427" spans="4:12" x14ac:dyDescent="0.25">
      <c r="D427" s="47"/>
      <c r="H427" s="38"/>
      <c r="I427" s="38"/>
      <c r="J427" s="38"/>
      <c r="K427" s="38"/>
      <c r="L427" s="38"/>
    </row>
    <row r="428" spans="4:12" x14ac:dyDescent="0.25">
      <c r="D428" s="47"/>
      <c r="H428" s="38"/>
      <c r="I428" s="38"/>
      <c r="J428" s="38"/>
      <c r="K428" s="38"/>
      <c r="L428" s="38"/>
    </row>
    <row r="429" spans="4:12" x14ac:dyDescent="0.25">
      <c r="D429" s="47"/>
      <c r="H429" s="38"/>
      <c r="I429" s="38"/>
      <c r="J429" s="38"/>
      <c r="K429" s="38"/>
      <c r="L429" s="38"/>
    </row>
    <row r="430" spans="4:12" x14ac:dyDescent="0.25">
      <c r="D430" s="47"/>
      <c r="H430" s="38"/>
      <c r="I430" s="38"/>
      <c r="J430" s="38"/>
      <c r="K430" s="38"/>
      <c r="L430" s="38"/>
    </row>
    <row r="431" spans="4:12" x14ac:dyDescent="0.25">
      <c r="D431" s="47"/>
      <c r="H431" s="38"/>
      <c r="I431" s="38"/>
      <c r="J431" s="38"/>
      <c r="K431" s="38"/>
      <c r="L431" s="38"/>
    </row>
    <row r="432" spans="4:12" x14ac:dyDescent="0.25">
      <c r="D432" s="47"/>
      <c r="H432" s="38"/>
      <c r="I432" s="38"/>
      <c r="J432" s="38"/>
      <c r="K432" s="38"/>
      <c r="L432" s="38"/>
    </row>
    <row r="433" spans="4:12" x14ac:dyDescent="0.25">
      <c r="D433" s="47"/>
      <c r="H433" s="38"/>
      <c r="I433" s="38"/>
      <c r="J433" s="38"/>
      <c r="K433" s="38"/>
      <c r="L433" s="38"/>
    </row>
    <row r="434" spans="4:12" x14ac:dyDescent="0.25">
      <c r="D434" s="47"/>
      <c r="H434" s="38"/>
      <c r="I434" s="38"/>
      <c r="J434" s="38"/>
      <c r="K434" s="38"/>
      <c r="L434" s="38"/>
    </row>
    <row r="435" spans="4:12" x14ac:dyDescent="0.25">
      <c r="D435" s="47"/>
      <c r="H435" s="38"/>
      <c r="I435" s="38"/>
      <c r="J435" s="38"/>
      <c r="K435" s="38"/>
      <c r="L435" s="38"/>
    </row>
    <row r="436" spans="4:12" x14ac:dyDescent="0.25">
      <c r="D436" s="47"/>
      <c r="H436" s="38"/>
      <c r="I436" s="38"/>
      <c r="J436" s="38"/>
      <c r="K436" s="38"/>
      <c r="L436" s="38"/>
    </row>
    <row r="437" spans="4:12" x14ac:dyDescent="0.25">
      <c r="D437" s="47"/>
      <c r="H437" s="38"/>
      <c r="I437" s="38"/>
      <c r="J437" s="38"/>
      <c r="K437" s="38"/>
      <c r="L437" s="38"/>
    </row>
    <row r="438" spans="4:12" x14ac:dyDescent="0.25">
      <c r="D438" s="47"/>
      <c r="H438" s="38"/>
      <c r="I438" s="38"/>
      <c r="J438" s="38"/>
      <c r="K438" s="38"/>
      <c r="L438" s="38"/>
    </row>
    <row r="439" spans="4:12" x14ac:dyDescent="0.25">
      <c r="D439" s="47"/>
      <c r="H439" s="38"/>
      <c r="I439" s="38"/>
      <c r="J439" s="38"/>
      <c r="K439" s="38"/>
      <c r="L439" s="38"/>
    </row>
    <row r="440" spans="4:12" x14ac:dyDescent="0.25">
      <c r="D440" s="47"/>
      <c r="H440" s="38"/>
      <c r="I440" s="38"/>
      <c r="J440" s="38"/>
      <c r="K440" s="38"/>
      <c r="L440" s="38"/>
    </row>
    <row r="441" spans="4:12" x14ac:dyDescent="0.25">
      <c r="D441" s="47"/>
      <c r="H441" s="38"/>
      <c r="I441" s="38"/>
      <c r="J441" s="38"/>
      <c r="K441" s="38"/>
      <c r="L441" s="38"/>
    </row>
    <row r="442" spans="4:12" x14ac:dyDescent="0.25">
      <c r="D442" s="47"/>
      <c r="H442" s="38"/>
      <c r="I442" s="38"/>
      <c r="J442" s="38"/>
      <c r="K442" s="38"/>
      <c r="L442" s="38"/>
    </row>
    <row r="443" spans="4:12" x14ac:dyDescent="0.25">
      <c r="D443" s="47"/>
      <c r="H443" s="38"/>
      <c r="I443" s="38"/>
      <c r="J443" s="38"/>
      <c r="K443" s="38"/>
      <c r="L443" s="38"/>
    </row>
    <row r="444" spans="4:12" x14ac:dyDescent="0.25">
      <c r="D444" s="47"/>
      <c r="H444" s="38"/>
      <c r="I444" s="38"/>
      <c r="J444" s="38"/>
      <c r="K444" s="38"/>
      <c r="L444" s="38"/>
    </row>
    <row r="445" spans="4:12" x14ac:dyDescent="0.25">
      <c r="D445" s="47"/>
      <c r="H445" s="38"/>
      <c r="I445" s="38"/>
      <c r="J445" s="38"/>
      <c r="K445" s="38"/>
      <c r="L445" s="38"/>
    </row>
    <row r="446" spans="4:12" x14ac:dyDescent="0.25">
      <c r="D446" s="47"/>
      <c r="H446" s="38"/>
      <c r="I446" s="38"/>
      <c r="J446" s="38"/>
      <c r="K446" s="38"/>
      <c r="L446" s="38"/>
    </row>
    <row r="447" spans="4:12" x14ac:dyDescent="0.25">
      <c r="D447" s="47"/>
      <c r="H447" s="38"/>
      <c r="I447" s="38"/>
      <c r="J447" s="38"/>
      <c r="K447" s="38"/>
      <c r="L447" s="38"/>
    </row>
    <row r="448" spans="4:12" x14ac:dyDescent="0.25">
      <c r="D448" s="47"/>
      <c r="H448" s="38"/>
      <c r="I448" s="38"/>
      <c r="J448" s="38"/>
      <c r="K448" s="38"/>
      <c r="L448" s="38"/>
    </row>
    <row r="449" spans="4:12" x14ac:dyDescent="0.25">
      <c r="D449" s="47"/>
      <c r="H449" s="38"/>
      <c r="I449" s="38"/>
      <c r="J449" s="38"/>
      <c r="K449" s="38"/>
      <c r="L449" s="38"/>
    </row>
    <row r="450" spans="4:12" x14ac:dyDescent="0.25">
      <c r="D450" s="47"/>
      <c r="H450" s="38"/>
      <c r="I450" s="38"/>
      <c r="J450" s="38"/>
      <c r="K450" s="38"/>
      <c r="L450" s="38"/>
    </row>
    <row r="451" spans="4:12" x14ac:dyDescent="0.25">
      <c r="D451" s="47"/>
      <c r="H451" s="38"/>
      <c r="I451" s="38"/>
      <c r="J451" s="38"/>
      <c r="K451" s="38"/>
      <c r="L451" s="38"/>
    </row>
    <row r="452" spans="4:12" x14ac:dyDescent="0.25">
      <c r="D452" s="47"/>
      <c r="H452" s="38"/>
      <c r="I452" s="38"/>
      <c r="J452" s="38"/>
      <c r="K452" s="38"/>
      <c r="L452" s="38"/>
    </row>
    <row r="453" spans="4:12" x14ac:dyDescent="0.25">
      <c r="D453" s="47"/>
      <c r="H453" s="38"/>
      <c r="I453" s="38"/>
      <c r="J453" s="38"/>
      <c r="K453" s="38"/>
      <c r="L453" s="38"/>
    </row>
    <row r="454" spans="4:12" x14ac:dyDescent="0.25">
      <c r="D454" s="47"/>
      <c r="H454" s="38"/>
      <c r="I454" s="38"/>
      <c r="J454" s="38"/>
      <c r="K454" s="38"/>
      <c r="L454" s="38"/>
    </row>
    <row r="455" spans="4:12" x14ac:dyDescent="0.25">
      <c r="D455" s="47"/>
      <c r="H455" s="38"/>
      <c r="I455" s="38"/>
      <c r="J455" s="38"/>
      <c r="K455" s="38"/>
      <c r="L455" s="38"/>
    </row>
    <row r="456" spans="4:12" x14ac:dyDescent="0.25">
      <c r="D456" s="47"/>
      <c r="H456" s="38"/>
      <c r="I456" s="38"/>
      <c r="J456" s="38"/>
      <c r="K456" s="38"/>
      <c r="L456" s="38"/>
    </row>
    <row r="457" spans="4:12" x14ac:dyDescent="0.25">
      <c r="D457" s="47"/>
      <c r="H457" s="38"/>
      <c r="I457" s="38"/>
      <c r="J457" s="38"/>
      <c r="K457" s="38"/>
      <c r="L457" s="38"/>
    </row>
    <row r="458" spans="4:12" x14ac:dyDescent="0.25">
      <c r="D458" s="47"/>
      <c r="H458" s="38"/>
      <c r="I458" s="38"/>
      <c r="J458" s="38"/>
      <c r="K458" s="38"/>
      <c r="L458" s="38"/>
    </row>
    <row r="459" spans="4:12" x14ac:dyDescent="0.25">
      <c r="D459" s="47"/>
      <c r="H459" s="38"/>
      <c r="I459" s="38"/>
      <c r="J459" s="38"/>
      <c r="K459" s="38"/>
      <c r="L459" s="38"/>
    </row>
    <row r="460" spans="4:12" x14ac:dyDescent="0.25">
      <c r="D460" s="47"/>
      <c r="H460" s="38"/>
      <c r="I460" s="38"/>
      <c r="J460" s="38"/>
      <c r="K460" s="38"/>
      <c r="L460" s="38"/>
    </row>
    <row r="461" spans="4:12" x14ac:dyDescent="0.25">
      <c r="D461" s="47"/>
      <c r="H461" s="38"/>
      <c r="I461" s="38"/>
      <c r="J461" s="38"/>
      <c r="K461" s="38"/>
      <c r="L461" s="38"/>
    </row>
    <row r="462" spans="4:12" x14ac:dyDescent="0.25">
      <c r="D462" s="47"/>
      <c r="H462" s="38"/>
      <c r="I462" s="38"/>
      <c r="J462" s="38"/>
      <c r="K462" s="38"/>
      <c r="L462" s="38"/>
    </row>
    <row r="463" spans="4:12" x14ac:dyDescent="0.25">
      <c r="D463" s="47"/>
      <c r="H463" s="38"/>
      <c r="I463" s="38"/>
      <c r="J463" s="38"/>
      <c r="K463" s="38"/>
      <c r="L463" s="38"/>
    </row>
    <row r="464" spans="4:12" x14ac:dyDescent="0.25">
      <c r="D464" s="47"/>
      <c r="H464" s="38"/>
      <c r="I464" s="38"/>
      <c r="J464" s="38"/>
      <c r="K464" s="38"/>
      <c r="L464" s="38"/>
    </row>
    <row r="465" spans="4:12" x14ac:dyDescent="0.25">
      <c r="D465" s="47"/>
      <c r="H465" s="38"/>
      <c r="I465" s="38"/>
      <c r="J465" s="38"/>
      <c r="K465" s="38"/>
      <c r="L465" s="38"/>
    </row>
    <row r="466" spans="4:12" x14ac:dyDescent="0.25">
      <c r="D466" s="47"/>
      <c r="H466" s="38"/>
      <c r="I466" s="38"/>
      <c r="J466" s="38"/>
      <c r="K466" s="38"/>
      <c r="L466" s="38"/>
    </row>
    <row r="467" spans="4:12" x14ac:dyDescent="0.25">
      <c r="D467" s="47"/>
      <c r="H467" s="38"/>
      <c r="I467" s="38"/>
      <c r="J467" s="38"/>
      <c r="K467" s="38"/>
      <c r="L467" s="38"/>
    </row>
    <row r="468" spans="4:12" x14ac:dyDescent="0.25">
      <c r="D468" s="47"/>
      <c r="H468" s="38"/>
      <c r="I468" s="38"/>
      <c r="J468" s="38"/>
      <c r="K468" s="38"/>
      <c r="L468" s="38"/>
    </row>
    <row r="469" spans="4:12" x14ac:dyDescent="0.25">
      <c r="D469" s="47"/>
      <c r="H469" s="38"/>
      <c r="I469" s="38"/>
      <c r="J469" s="38"/>
      <c r="K469" s="38"/>
      <c r="L469" s="38"/>
    </row>
    <row r="470" spans="4:12" x14ac:dyDescent="0.25">
      <c r="D470" s="47"/>
      <c r="H470" s="38"/>
      <c r="I470" s="38"/>
      <c r="J470" s="38"/>
      <c r="K470" s="38"/>
      <c r="L470" s="38"/>
    </row>
    <row r="471" spans="4:12" x14ac:dyDescent="0.25">
      <c r="D471" s="47"/>
      <c r="H471" s="38"/>
      <c r="I471" s="38"/>
      <c r="J471" s="38"/>
      <c r="K471" s="38"/>
      <c r="L471" s="38"/>
    </row>
    <row r="472" spans="4:12" x14ac:dyDescent="0.25">
      <c r="D472" s="47"/>
      <c r="H472" s="38"/>
      <c r="I472" s="38"/>
      <c r="J472" s="38"/>
      <c r="K472" s="38"/>
      <c r="L472" s="38"/>
    </row>
    <row r="473" spans="4:12" x14ac:dyDescent="0.25">
      <c r="D473" s="47"/>
      <c r="H473" s="38"/>
      <c r="I473" s="38"/>
      <c r="J473" s="38"/>
      <c r="K473" s="38"/>
      <c r="L473" s="38"/>
    </row>
    <row r="474" spans="4:12" x14ac:dyDescent="0.25">
      <c r="D474" s="47"/>
      <c r="H474" s="38"/>
      <c r="I474" s="38"/>
      <c r="J474" s="38"/>
      <c r="K474" s="38"/>
      <c r="L474" s="38"/>
    </row>
    <row r="475" spans="4:12" x14ac:dyDescent="0.25">
      <c r="D475" s="47"/>
      <c r="H475" s="38"/>
      <c r="I475" s="38"/>
      <c r="J475" s="38"/>
      <c r="K475" s="38"/>
      <c r="L475" s="38"/>
    </row>
    <row r="476" spans="4:12" x14ac:dyDescent="0.25">
      <c r="D476" s="47"/>
      <c r="H476" s="38"/>
      <c r="I476" s="38"/>
      <c r="J476" s="38"/>
      <c r="K476" s="38"/>
      <c r="L476" s="38"/>
    </row>
    <row r="477" spans="4:12" x14ac:dyDescent="0.25">
      <c r="D477" s="47"/>
      <c r="H477" s="38"/>
      <c r="I477" s="38"/>
      <c r="J477" s="38"/>
      <c r="K477" s="38"/>
      <c r="L477" s="38"/>
    </row>
    <row r="478" spans="4:12" x14ac:dyDescent="0.25">
      <c r="D478" s="47"/>
      <c r="H478" s="38"/>
      <c r="I478" s="38"/>
      <c r="J478" s="38"/>
      <c r="K478" s="38"/>
      <c r="L478" s="38"/>
    </row>
    <row r="479" spans="4:12" x14ac:dyDescent="0.25">
      <c r="D479" s="47"/>
      <c r="H479" s="38"/>
      <c r="I479" s="38"/>
      <c r="J479" s="38"/>
      <c r="K479" s="38"/>
      <c r="L479" s="38"/>
    </row>
    <row r="480" spans="4:12" x14ac:dyDescent="0.25">
      <c r="D480" s="47"/>
      <c r="H480" s="38"/>
      <c r="I480" s="38"/>
      <c r="J480" s="38"/>
      <c r="K480" s="38"/>
      <c r="L480" s="38"/>
    </row>
    <row r="481" spans="4:12" x14ac:dyDescent="0.25">
      <c r="D481" s="47"/>
      <c r="H481" s="38"/>
      <c r="I481" s="38"/>
      <c r="J481" s="38"/>
      <c r="K481" s="38"/>
      <c r="L481" s="38"/>
    </row>
    <row r="482" spans="4:12" x14ac:dyDescent="0.25">
      <c r="D482" s="47"/>
      <c r="H482" s="38"/>
      <c r="I482" s="38"/>
      <c r="J482" s="38"/>
      <c r="K482" s="38"/>
      <c r="L482" s="38"/>
    </row>
    <row r="483" spans="4:12" x14ac:dyDescent="0.25">
      <c r="D483" s="47"/>
      <c r="H483" s="38"/>
      <c r="I483" s="38"/>
      <c r="J483" s="38"/>
      <c r="K483" s="38"/>
      <c r="L483" s="38"/>
    </row>
    <row r="484" spans="4:12" x14ac:dyDescent="0.25">
      <c r="D484" s="47"/>
      <c r="H484" s="38"/>
      <c r="I484" s="38"/>
      <c r="J484" s="38"/>
      <c r="K484" s="38"/>
      <c r="L484" s="38"/>
    </row>
    <row r="485" spans="4:12" x14ac:dyDescent="0.25">
      <c r="D485" s="47"/>
      <c r="H485" s="38"/>
      <c r="I485" s="38"/>
      <c r="J485" s="38"/>
      <c r="K485" s="38"/>
      <c r="L485" s="38"/>
    </row>
    <row r="486" spans="4:12" x14ac:dyDescent="0.25">
      <c r="D486" s="47"/>
      <c r="H486" s="38"/>
      <c r="I486" s="38"/>
      <c r="J486" s="38"/>
      <c r="K486" s="38"/>
      <c r="L486" s="38"/>
    </row>
    <row r="487" spans="4:12" x14ac:dyDescent="0.25">
      <c r="D487" s="47"/>
      <c r="H487" s="38"/>
      <c r="I487" s="38"/>
      <c r="J487" s="38"/>
      <c r="K487" s="38"/>
      <c r="L487" s="38"/>
    </row>
    <row r="488" spans="4:12" x14ac:dyDescent="0.25">
      <c r="D488" s="47"/>
      <c r="H488" s="38"/>
      <c r="I488" s="38"/>
      <c r="J488" s="38"/>
      <c r="K488" s="38"/>
      <c r="L488" s="38"/>
    </row>
    <row r="489" spans="4:12" x14ac:dyDescent="0.25">
      <c r="D489" s="47"/>
      <c r="H489" s="38"/>
      <c r="I489" s="38"/>
      <c r="J489" s="38"/>
      <c r="K489" s="38"/>
      <c r="L489" s="38"/>
    </row>
    <row r="490" spans="4:12" x14ac:dyDescent="0.25">
      <c r="D490" s="47"/>
      <c r="H490" s="38"/>
      <c r="I490" s="38"/>
      <c r="J490" s="38"/>
      <c r="K490" s="38"/>
      <c r="L490" s="38"/>
    </row>
    <row r="491" spans="4:12" x14ac:dyDescent="0.25">
      <c r="D491" s="47"/>
      <c r="H491" s="38"/>
      <c r="I491" s="38"/>
      <c r="J491" s="38"/>
      <c r="K491" s="38"/>
      <c r="L491" s="38"/>
    </row>
    <row r="492" spans="4:12" x14ac:dyDescent="0.25">
      <c r="D492" s="47"/>
      <c r="H492" s="38"/>
      <c r="I492" s="38"/>
      <c r="J492" s="38"/>
      <c r="K492" s="38"/>
      <c r="L492" s="38"/>
    </row>
    <row r="493" spans="4:12" x14ac:dyDescent="0.25">
      <c r="D493" s="47"/>
      <c r="H493" s="38"/>
      <c r="I493" s="38"/>
      <c r="J493" s="38"/>
      <c r="K493" s="38"/>
      <c r="L493" s="38"/>
    </row>
    <row r="494" spans="4:12" x14ac:dyDescent="0.25">
      <c r="D494" s="47"/>
      <c r="H494" s="38"/>
      <c r="I494" s="38"/>
      <c r="J494" s="38"/>
      <c r="K494" s="38"/>
      <c r="L494" s="38"/>
    </row>
    <row r="495" spans="4:12" x14ac:dyDescent="0.25">
      <c r="D495" s="47"/>
      <c r="H495" s="38"/>
      <c r="I495" s="38"/>
      <c r="J495" s="38"/>
      <c r="K495" s="38"/>
      <c r="L495" s="38"/>
    </row>
    <row r="496" spans="4:12" x14ac:dyDescent="0.25">
      <c r="D496" s="47"/>
      <c r="H496" s="38"/>
      <c r="I496" s="38"/>
      <c r="J496" s="38"/>
      <c r="K496" s="38"/>
      <c r="L496" s="38"/>
    </row>
    <row r="497" spans="4:12" x14ac:dyDescent="0.25">
      <c r="D497" s="47"/>
      <c r="H497" s="38"/>
      <c r="I497" s="38"/>
      <c r="J497" s="38"/>
      <c r="K497" s="38"/>
      <c r="L497" s="38"/>
    </row>
    <row r="498" spans="4:12" x14ac:dyDescent="0.25">
      <c r="D498" s="47"/>
      <c r="H498" s="38"/>
      <c r="I498" s="38"/>
      <c r="J498" s="38"/>
      <c r="K498" s="38"/>
      <c r="L498" s="38"/>
    </row>
    <row r="499" spans="4:12" x14ac:dyDescent="0.25">
      <c r="D499" s="47"/>
      <c r="H499" s="38"/>
      <c r="I499" s="38"/>
      <c r="J499" s="38"/>
      <c r="K499" s="38"/>
      <c r="L499" s="38"/>
    </row>
    <row r="500" spans="4:12" x14ac:dyDescent="0.25">
      <c r="D500" s="47"/>
      <c r="H500" s="38"/>
      <c r="I500" s="38"/>
      <c r="J500" s="38"/>
      <c r="K500" s="38"/>
      <c r="L500" s="38"/>
    </row>
    <row r="501" spans="4:12" x14ac:dyDescent="0.25">
      <c r="D501" s="47"/>
      <c r="H501" s="38"/>
      <c r="I501" s="38"/>
      <c r="J501" s="38"/>
      <c r="K501" s="38"/>
      <c r="L501" s="38"/>
    </row>
    <row r="502" spans="4:12" x14ac:dyDescent="0.25">
      <c r="D502" s="47"/>
      <c r="H502" s="38"/>
      <c r="I502" s="38"/>
      <c r="J502" s="38"/>
      <c r="K502" s="38"/>
      <c r="L502" s="38"/>
    </row>
    <row r="503" spans="4:12" x14ac:dyDescent="0.25">
      <c r="D503" s="47"/>
      <c r="H503" s="38"/>
      <c r="I503" s="38"/>
      <c r="J503" s="38"/>
      <c r="K503" s="38"/>
      <c r="L503" s="38"/>
    </row>
    <row r="504" spans="4:12" x14ac:dyDescent="0.25">
      <c r="D504" s="47"/>
      <c r="H504" s="38"/>
      <c r="I504" s="38"/>
      <c r="J504" s="38"/>
      <c r="K504" s="38"/>
      <c r="L504" s="38"/>
    </row>
    <row r="505" spans="4:12" x14ac:dyDescent="0.25">
      <c r="D505" s="47"/>
      <c r="H505" s="38"/>
      <c r="I505" s="38"/>
      <c r="J505" s="38"/>
      <c r="K505" s="38"/>
      <c r="L505" s="38"/>
    </row>
    <row r="506" spans="4:12" x14ac:dyDescent="0.25">
      <c r="D506" s="47"/>
      <c r="H506" s="38"/>
      <c r="I506" s="38"/>
      <c r="J506" s="38"/>
      <c r="K506" s="38"/>
      <c r="L506" s="38"/>
    </row>
    <row r="507" spans="4:12" x14ac:dyDescent="0.25">
      <c r="D507" s="47"/>
      <c r="H507" s="38"/>
      <c r="I507" s="38"/>
      <c r="J507" s="38"/>
      <c r="K507" s="38"/>
      <c r="L507" s="38"/>
    </row>
    <row r="508" spans="4:12" x14ac:dyDescent="0.25">
      <c r="D508" s="47"/>
      <c r="H508" s="38"/>
      <c r="I508" s="38"/>
      <c r="J508" s="38"/>
      <c r="K508" s="38"/>
      <c r="L508" s="38"/>
    </row>
    <row r="509" spans="4:12" x14ac:dyDescent="0.25">
      <c r="D509" s="47"/>
      <c r="H509" s="38"/>
      <c r="I509" s="38"/>
      <c r="J509" s="38"/>
      <c r="K509" s="38"/>
      <c r="L509" s="38"/>
    </row>
    <row r="510" spans="4:12" x14ac:dyDescent="0.25">
      <c r="D510" s="47"/>
      <c r="H510" s="38"/>
      <c r="I510" s="38"/>
      <c r="J510" s="38"/>
      <c r="K510" s="38"/>
      <c r="L510" s="38"/>
    </row>
    <row r="511" spans="4:12" x14ac:dyDescent="0.25">
      <c r="D511" s="47"/>
      <c r="H511" s="38"/>
      <c r="I511" s="38"/>
      <c r="J511" s="38"/>
      <c r="K511" s="38"/>
      <c r="L511" s="38"/>
    </row>
    <row r="512" spans="4:12" x14ac:dyDescent="0.25">
      <c r="D512" s="47"/>
      <c r="H512" s="38"/>
      <c r="I512" s="38"/>
      <c r="J512" s="38"/>
      <c r="K512" s="38"/>
      <c r="L512" s="38"/>
    </row>
    <row r="513" spans="4:12" x14ac:dyDescent="0.25">
      <c r="D513" s="47"/>
      <c r="H513" s="38"/>
      <c r="I513" s="38"/>
      <c r="J513" s="38"/>
      <c r="K513" s="38"/>
      <c r="L513" s="38"/>
    </row>
    <row r="514" spans="4:12" x14ac:dyDescent="0.25">
      <c r="D514" s="47"/>
      <c r="H514" s="38"/>
      <c r="I514" s="38"/>
      <c r="J514" s="38"/>
      <c r="K514" s="38"/>
      <c r="L514" s="38"/>
    </row>
    <row r="515" spans="4:12" x14ac:dyDescent="0.25">
      <c r="D515" s="47"/>
      <c r="H515" s="38"/>
      <c r="I515" s="38"/>
      <c r="J515" s="38"/>
      <c r="K515" s="38"/>
      <c r="L515" s="38"/>
    </row>
    <row r="516" spans="4:12" x14ac:dyDescent="0.25">
      <c r="D516" s="47"/>
      <c r="H516" s="38"/>
      <c r="I516" s="38"/>
      <c r="J516" s="38"/>
      <c r="K516" s="38"/>
      <c r="L516" s="38"/>
    </row>
    <row r="517" spans="4:12" x14ac:dyDescent="0.25">
      <c r="D517" s="47"/>
      <c r="H517" s="38"/>
      <c r="I517" s="38"/>
      <c r="J517" s="38"/>
      <c r="K517" s="38"/>
      <c r="L517" s="38"/>
    </row>
    <row r="518" spans="4:12" x14ac:dyDescent="0.25">
      <c r="D518" s="47"/>
      <c r="H518" s="38"/>
      <c r="I518" s="38"/>
      <c r="J518" s="38"/>
      <c r="K518" s="38"/>
      <c r="L518" s="38"/>
    </row>
    <row r="519" spans="4:12" x14ac:dyDescent="0.25">
      <c r="D519" s="47"/>
      <c r="H519" s="38"/>
      <c r="I519" s="38"/>
      <c r="J519" s="38"/>
      <c r="K519" s="38"/>
      <c r="L519" s="38"/>
    </row>
    <row r="520" spans="4:12" x14ac:dyDescent="0.25">
      <c r="D520" s="47"/>
      <c r="H520" s="38"/>
      <c r="I520" s="38"/>
      <c r="J520" s="38"/>
      <c r="K520" s="38"/>
      <c r="L520" s="38"/>
    </row>
    <row r="521" spans="4:12" x14ac:dyDescent="0.25">
      <c r="D521" s="47"/>
      <c r="H521" s="38"/>
      <c r="I521" s="38"/>
      <c r="J521" s="38"/>
      <c r="K521" s="38"/>
      <c r="L521" s="38"/>
    </row>
    <row r="522" spans="4:12" x14ac:dyDescent="0.25">
      <c r="D522" s="47"/>
      <c r="H522" s="38"/>
      <c r="I522" s="38"/>
      <c r="J522" s="38"/>
      <c r="K522" s="38"/>
      <c r="L522" s="38"/>
    </row>
    <row r="523" spans="4:12" x14ac:dyDescent="0.25">
      <c r="D523" s="47"/>
      <c r="H523" s="38"/>
      <c r="I523" s="38"/>
      <c r="J523" s="38"/>
      <c r="K523" s="38"/>
      <c r="L523" s="38"/>
    </row>
    <row r="524" spans="4:12" x14ac:dyDescent="0.25">
      <c r="D524" s="47"/>
      <c r="H524" s="38"/>
      <c r="I524" s="38"/>
      <c r="J524" s="38"/>
      <c r="K524" s="38"/>
      <c r="L524" s="38"/>
    </row>
    <row r="525" spans="4:12" x14ac:dyDescent="0.25">
      <c r="D525" s="47"/>
      <c r="H525" s="38"/>
      <c r="I525" s="38"/>
      <c r="J525" s="38"/>
      <c r="K525" s="38"/>
      <c r="L525" s="38"/>
    </row>
    <row r="526" spans="4:12" x14ac:dyDescent="0.25">
      <c r="D526" s="47"/>
      <c r="H526" s="38"/>
      <c r="I526" s="38"/>
      <c r="J526" s="38"/>
      <c r="K526" s="38"/>
      <c r="L526" s="38"/>
    </row>
    <row r="527" spans="4:12" x14ac:dyDescent="0.25">
      <c r="D527" s="47"/>
      <c r="H527" s="38"/>
      <c r="I527" s="38"/>
      <c r="J527" s="38"/>
      <c r="K527" s="38"/>
      <c r="L527" s="38"/>
    </row>
    <row r="528" spans="4:12" x14ac:dyDescent="0.25">
      <c r="D528" s="47"/>
      <c r="H528" s="38"/>
      <c r="I528" s="38"/>
      <c r="J528" s="38"/>
      <c r="K528" s="38"/>
      <c r="L528" s="38"/>
    </row>
    <row r="529" spans="4:12" x14ac:dyDescent="0.25">
      <c r="D529" s="47"/>
      <c r="H529" s="38"/>
      <c r="I529" s="38"/>
      <c r="J529" s="38"/>
      <c r="K529" s="38"/>
      <c r="L529" s="38"/>
    </row>
    <row r="530" spans="4:12" x14ac:dyDescent="0.25">
      <c r="D530" s="47"/>
      <c r="H530" s="38"/>
      <c r="I530" s="38"/>
      <c r="J530" s="38"/>
      <c r="K530" s="38"/>
      <c r="L530" s="38"/>
    </row>
    <row r="531" spans="4:12" x14ac:dyDescent="0.25">
      <c r="D531" s="47"/>
      <c r="H531" s="38"/>
      <c r="I531" s="38"/>
      <c r="J531" s="38"/>
      <c r="K531" s="38"/>
      <c r="L531" s="38"/>
    </row>
    <row r="532" spans="4:12" x14ac:dyDescent="0.25">
      <c r="D532" s="47"/>
      <c r="H532" s="38"/>
      <c r="I532" s="38"/>
      <c r="J532" s="38"/>
      <c r="K532" s="38"/>
      <c r="L532" s="38"/>
    </row>
    <row r="533" spans="4:12" x14ac:dyDescent="0.25">
      <c r="D533" s="47"/>
      <c r="H533" s="38"/>
      <c r="I533" s="38"/>
      <c r="J533" s="38"/>
      <c r="K533" s="38"/>
      <c r="L533" s="38"/>
    </row>
    <row r="534" spans="4:12" x14ac:dyDescent="0.25">
      <c r="D534" s="47"/>
      <c r="H534" s="38"/>
      <c r="I534" s="38"/>
      <c r="J534" s="38"/>
      <c r="K534" s="38"/>
      <c r="L534" s="38"/>
    </row>
    <row r="535" spans="4:12" x14ac:dyDescent="0.25">
      <c r="D535" s="47"/>
      <c r="H535" s="38"/>
      <c r="I535" s="38"/>
      <c r="J535" s="38"/>
      <c r="K535" s="38"/>
      <c r="L535" s="38"/>
    </row>
    <row r="536" spans="4:12" x14ac:dyDescent="0.25">
      <c r="D536" s="47"/>
      <c r="H536" s="38"/>
      <c r="I536" s="38"/>
      <c r="J536" s="38"/>
      <c r="K536" s="38"/>
      <c r="L536" s="38"/>
    </row>
    <row r="537" spans="4:12" x14ac:dyDescent="0.25">
      <c r="D537" s="47"/>
      <c r="H537" s="38"/>
      <c r="I537" s="38"/>
      <c r="J537" s="38"/>
      <c r="K537" s="38"/>
      <c r="L537" s="38"/>
    </row>
    <row r="538" spans="4:12" x14ac:dyDescent="0.25">
      <c r="D538" s="47"/>
      <c r="H538" s="38"/>
      <c r="I538" s="38"/>
      <c r="J538" s="38"/>
      <c r="K538" s="38"/>
      <c r="L538" s="38"/>
    </row>
    <row r="539" spans="4:12" x14ac:dyDescent="0.25">
      <c r="D539" s="47"/>
      <c r="H539" s="38"/>
      <c r="I539" s="38"/>
      <c r="J539" s="38"/>
      <c r="K539" s="38"/>
      <c r="L539" s="38"/>
    </row>
    <row r="540" spans="4:12" x14ac:dyDescent="0.25">
      <c r="D540" s="47"/>
      <c r="H540" s="38"/>
      <c r="I540" s="38"/>
      <c r="J540" s="38"/>
      <c r="K540" s="38"/>
      <c r="L540" s="38"/>
    </row>
    <row r="541" spans="4:12" x14ac:dyDescent="0.25">
      <c r="D541" s="47"/>
      <c r="H541" s="38"/>
      <c r="I541" s="38"/>
      <c r="J541" s="38"/>
      <c r="K541" s="38"/>
      <c r="L541" s="38"/>
    </row>
    <row r="542" spans="4:12" x14ac:dyDescent="0.25">
      <c r="D542" s="47"/>
      <c r="H542" s="38"/>
      <c r="I542" s="38"/>
      <c r="J542" s="38"/>
      <c r="K542" s="38"/>
      <c r="L542" s="38"/>
    </row>
    <row r="543" spans="4:12" x14ac:dyDescent="0.25">
      <c r="D543" s="47"/>
      <c r="H543" s="38"/>
      <c r="I543" s="38"/>
      <c r="J543" s="38"/>
      <c r="K543" s="38"/>
      <c r="L543" s="38"/>
    </row>
    <row r="544" spans="4:12" x14ac:dyDescent="0.25">
      <c r="D544" s="47"/>
      <c r="H544" s="38"/>
      <c r="I544" s="38"/>
      <c r="J544" s="38"/>
      <c r="K544" s="38"/>
      <c r="L544" s="38"/>
    </row>
    <row r="545" spans="4:12" x14ac:dyDescent="0.25">
      <c r="D545" s="47"/>
      <c r="H545" s="38"/>
      <c r="I545" s="38"/>
      <c r="J545" s="38"/>
      <c r="K545" s="38"/>
      <c r="L545" s="38"/>
    </row>
    <row r="546" spans="4:12" x14ac:dyDescent="0.25">
      <c r="D546" s="47"/>
      <c r="H546" s="38"/>
      <c r="I546" s="38"/>
      <c r="J546" s="38"/>
      <c r="K546" s="38"/>
      <c r="L546" s="38"/>
    </row>
    <row r="547" spans="4:12" x14ac:dyDescent="0.25">
      <c r="D547" s="47"/>
      <c r="H547" s="38"/>
      <c r="I547" s="38"/>
      <c r="J547" s="38"/>
      <c r="K547" s="38"/>
      <c r="L547" s="38"/>
    </row>
    <row r="548" spans="4:12" x14ac:dyDescent="0.25">
      <c r="D548" s="47"/>
      <c r="H548" s="38"/>
      <c r="I548" s="38"/>
      <c r="J548" s="38"/>
      <c r="K548" s="38"/>
      <c r="L548" s="38"/>
    </row>
    <row r="549" spans="4:12" x14ac:dyDescent="0.25">
      <c r="D549" s="47"/>
      <c r="H549" s="38"/>
      <c r="I549" s="38"/>
      <c r="J549" s="38"/>
      <c r="K549" s="38"/>
      <c r="L549" s="38"/>
    </row>
    <row r="550" spans="4:12" x14ac:dyDescent="0.25">
      <c r="D550" s="47"/>
      <c r="H550" s="38"/>
      <c r="I550" s="38"/>
      <c r="J550" s="38"/>
      <c r="K550" s="38"/>
      <c r="L550" s="38"/>
    </row>
    <row r="551" spans="4:12" x14ac:dyDescent="0.25">
      <c r="D551" s="47"/>
      <c r="H551" s="38"/>
      <c r="I551" s="38"/>
      <c r="J551" s="38"/>
      <c r="K551" s="38"/>
      <c r="L551" s="38"/>
    </row>
    <row r="552" spans="4:12" x14ac:dyDescent="0.25">
      <c r="D552" s="47"/>
      <c r="H552" s="38"/>
      <c r="I552" s="38"/>
      <c r="J552" s="38"/>
      <c r="K552" s="38"/>
      <c r="L552" s="38"/>
    </row>
    <row r="553" spans="4:12" x14ac:dyDescent="0.25">
      <c r="D553" s="47"/>
      <c r="H553" s="38"/>
      <c r="I553" s="38"/>
      <c r="J553" s="38"/>
      <c r="K553" s="38"/>
      <c r="L553" s="38"/>
    </row>
    <row r="554" spans="4:12" x14ac:dyDescent="0.25">
      <c r="D554" s="47"/>
      <c r="H554" s="38"/>
      <c r="I554" s="38"/>
      <c r="J554" s="38"/>
      <c r="K554" s="38"/>
      <c r="L554" s="38"/>
    </row>
    <row r="555" spans="4:12" x14ac:dyDescent="0.25">
      <c r="D555" s="47"/>
      <c r="H555" s="38"/>
      <c r="I555" s="38"/>
      <c r="J555" s="38"/>
      <c r="K555" s="38"/>
      <c r="L555" s="38"/>
    </row>
    <row r="556" spans="4:12" x14ac:dyDescent="0.25">
      <c r="D556" s="47"/>
      <c r="H556" s="38"/>
      <c r="I556" s="38"/>
      <c r="J556" s="38"/>
      <c r="K556" s="38"/>
      <c r="L556" s="38"/>
    </row>
    <row r="557" spans="4:12" x14ac:dyDescent="0.25">
      <c r="D557" s="47"/>
      <c r="H557" s="38"/>
      <c r="I557" s="38"/>
      <c r="J557" s="38"/>
      <c r="K557" s="38"/>
      <c r="L557" s="38"/>
    </row>
    <row r="558" spans="4:12" x14ac:dyDescent="0.25">
      <c r="D558" s="47"/>
      <c r="H558" s="38"/>
      <c r="I558" s="38"/>
      <c r="J558" s="38"/>
      <c r="K558" s="38"/>
      <c r="L558" s="38"/>
    </row>
    <row r="559" spans="4:12" x14ac:dyDescent="0.25">
      <c r="D559" s="47"/>
      <c r="H559" s="38"/>
      <c r="I559" s="38"/>
      <c r="J559" s="38"/>
      <c r="K559" s="38"/>
      <c r="L559" s="38"/>
    </row>
    <row r="560" spans="4:12" x14ac:dyDescent="0.25">
      <c r="D560" s="47"/>
      <c r="H560" s="38"/>
      <c r="I560" s="38"/>
      <c r="J560" s="38"/>
      <c r="K560" s="38"/>
      <c r="L560" s="38"/>
    </row>
    <row r="561" spans="4:12" x14ac:dyDescent="0.25">
      <c r="D561" s="47"/>
      <c r="H561" s="38"/>
      <c r="I561" s="38"/>
      <c r="J561" s="38"/>
      <c r="K561" s="38"/>
      <c r="L561" s="38"/>
    </row>
    <row r="562" spans="4:12" x14ac:dyDescent="0.25">
      <c r="D562" s="47"/>
      <c r="H562" s="38"/>
      <c r="I562" s="38"/>
      <c r="J562" s="38"/>
      <c r="K562" s="38"/>
      <c r="L562" s="38"/>
    </row>
    <row r="563" spans="4:12" x14ac:dyDescent="0.25">
      <c r="D563" s="47"/>
      <c r="H563" s="38"/>
      <c r="I563" s="38"/>
      <c r="J563" s="38"/>
      <c r="K563" s="38"/>
      <c r="L563" s="38"/>
    </row>
    <row r="564" spans="4:12" x14ac:dyDescent="0.25">
      <c r="D564" s="47"/>
      <c r="H564" s="38"/>
      <c r="I564" s="38"/>
      <c r="J564" s="38"/>
      <c r="K564" s="38"/>
      <c r="L564" s="38"/>
    </row>
    <row r="565" spans="4:12" x14ac:dyDescent="0.25">
      <c r="D565" s="47"/>
      <c r="H565" s="38"/>
      <c r="I565" s="38"/>
      <c r="J565" s="38"/>
      <c r="K565" s="38"/>
      <c r="L565" s="38"/>
    </row>
    <row r="566" spans="4:12" x14ac:dyDescent="0.25">
      <c r="D566" s="47"/>
      <c r="H566" s="38"/>
      <c r="I566" s="38"/>
      <c r="J566" s="38"/>
      <c r="K566" s="38"/>
      <c r="L566" s="38"/>
    </row>
    <row r="567" spans="4:12" x14ac:dyDescent="0.25">
      <c r="D567" s="47"/>
      <c r="H567" s="38"/>
      <c r="I567" s="38"/>
      <c r="J567" s="38"/>
      <c r="K567" s="38"/>
      <c r="L567" s="38"/>
    </row>
    <row r="568" spans="4:12" x14ac:dyDescent="0.25">
      <c r="D568" s="47"/>
      <c r="H568" s="38"/>
      <c r="I568" s="38"/>
      <c r="J568" s="38"/>
      <c r="K568" s="38"/>
      <c r="L568" s="38"/>
    </row>
    <row r="569" spans="4:12" x14ac:dyDescent="0.25">
      <c r="D569" s="47"/>
      <c r="H569" s="38"/>
      <c r="I569" s="38"/>
      <c r="J569" s="38"/>
      <c r="K569" s="38"/>
      <c r="L569" s="38"/>
    </row>
    <row r="570" spans="4:12" x14ac:dyDescent="0.25">
      <c r="D570" s="47"/>
      <c r="H570" s="38"/>
      <c r="I570" s="38"/>
      <c r="J570" s="38"/>
      <c r="K570" s="38"/>
      <c r="L570" s="38"/>
    </row>
    <row r="571" spans="4:12" x14ac:dyDescent="0.25">
      <c r="D571" s="47"/>
      <c r="H571" s="38"/>
      <c r="I571" s="38"/>
      <c r="J571" s="38"/>
      <c r="K571" s="38"/>
      <c r="L571" s="38"/>
    </row>
    <row r="572" spans="4:12" x14ac:dyDescent="0.25">
      <c r="D572" s="47"/>
      <c r="H572" s="38"/>
      <c r="I572" s="38"/>
      <c r="J572" s="38"/>
      <c r="K572" s="38"/>
      <c r="L572" s="38"/>
    </row>
    <row r="573" spans="4:12" x14ac:dyDescent="0.25">
      <c r="D573" s="47"/>
      <c r="H573" s="38"/>
      <c r="I573" s="38"/>
      <c r="J573" s="38"/>
      <c r="K573" s="38"/>
      <c r="L573" s="38"/>
    </row>
    <row r="574" spans="4:12" x14ac:dyDescent="0.25">
      <c r="D574" s="47"/>
      <c r="H574" s="38"/>
      <c r="I574" s="38"/>
      <c r="J574" s="38"/>
      <c r="K574" s="38"/>
      <c r="L574" s="38"/>
    </row>
    <row r="575" spans="4:12" x14ac:dyDescent="0.25">
      <c r="D575" s="47"/>
      <c r="H575" s="38"/>
      <c r="I575" s="38"/>
      <c r="J575" s="38"/>
      <c r="K575" s="38"/>
      <c r="L575" s="38"/>
    </row>
    <row r="576" spans="4:12" x14ac:dyDescent="0.25">
      <c r="D576" s="47"/>
      <c r="H576" s="38"/>
      <c r="I576" s="38"/>
      <c r="J576" s="38"/>
      <c r="K576" s="38"/>
      <c r="L576" s="38"/>
    </row>
    <row r="577" spans="4:12" x14ac:dyDescent="0.25">
      <c r="D577" s="47"/>
      <c r="H577" s="38"/>
      <c r="I577" s="38"/>
      <c r="J577" s="38"/>
      <c r="K577" s="38"/>
      <c r="L577" s="38"/>
    </row>
    <row r="578" spans="4:12" x14ac:dyDescent="0.25">
      <c r="D578" s="47"/>
      <c r="H578" s="38"/>
      <c r="I578" s="38"/>
      <c r="J578" s="38"/>
      <c r="K578" s="38"/>
      <c r="L578" s="38"/>
    </row>
    <row r="579" spans="4:12" x14ac:dyDescent="0.25">
      <c r="D579" s="47"/>
      <c r="H579" s="38"/>
      <c r="I579" s="38"/>
      <c r="J579" s="38"/>
      <c r="K579" s="38"/>
      <c r="L579" s="38"/>
    </row>
    <row r="580" spans="4:12" x14ac:dyDescent="0.25">
      <c r="D580" s="47"/>
      <c r="H580" s="38"/>
      <c r="I580" s="38"/>
      <c r="J580" s="38"/>
      <c r="K580" s="38"/>
      <c r="L580" s="38"/>
    </row>
    <row r="581" spans="4:12" x14ac:dyDescent="0.25">
      <c r="D581" s="47"/>
      <c r="H581" s="38"/>
      <c r="I581" s="38"/>
      <c r="J581" s="38"/>
      <c r="K581" s="38"/>
      <c r="L581" s="38"/>
    </row>
    <row r="582" spans="4:12" x14ac:dyDescent="0.25">
      <c r="D582" s="47"/>
      <c r="H582" s="38"/>
      <c r="I582" s="38"/>
      <c r="J582" s="38"/>
      <c r="K582" s="38"/>
      <c r="L582" s="38"/>
    </row>
    <row r="583" spans="4:12" x14ac:dyDescent="0.25">
      <c r="D583" s="47"/>
      <c r="H583" s="38"/>
      <c r="I583" s="38"/>
      <c r="J583" s="38"/>
      <c r="K583" s="38"/>
      <c r="L583" s="38"/>
    </row>
    <row r="584" spans="4:12" x14ac:dyDescent="0.25">
      <c r="D584" s="47"/>
      <c r="H584" s="38"/>
      <c r="I584" s="38"/>
      <c r="J584" s="38"/>
      <c r="K584" s="38"/>
      <c r="L584" s="38"/>
    </row>
    <row r="585" spans="4:12" x14ac:dyDescent="0.25">
      <c r="D585" s="47"/>
      <c r="H585" s="38"/>
      <c r="I585" s="38"/>
      <c r="J585" s="38"/>
      <c r="K585" s="38"/>
      <c r="L585" s="38"/>
    </row>
    <row r="586" spans="4:12" x14ac:dyDescent="0.25">
      <c r="D586" s="47"/>
      <c r="H586" s="38"/>
      <c r="I586" s="38"/>
      <c r="J586" s="38"/>
      <c r="K586" s="38"/>
      <c r="L586" s="38"/>
    </row>
    <row r="587" spans="4:12" x14ac:dyDescent="0.25">
      <c r="D587" s="47"/>
      <c r="H587" s="38"/>
      <c r="I587" s="38"/>
      <c r="J587" s="38"/>
      <c r="K587" s="38"/>
      <c r="L587" s="38"/>
    </row>
    <row r="588" spans="4:12" x14ac:dyDescent="0.25">
      <c r="D588" s="47"/>
      <c r="H588" s="38"/>
      <c r="I588" s="38"/>
      <c r="J588" s="38"/>
      <c r="K588" s="38"/>
      <c r="L588" s="38"/>
    </row>
    <row r="589" spans="4:12" x14ac:dyDescent="0.25">
      <c r="D589" s="47"/>
      <c r="H589" s="38"/>
      <c r="I589" s="38"/>
      <c r="J589" s="38"/>
      <c r="K589" s="38"/>
      <c r="L589" s="38"/>
    </row>
    <row r="590" spans="4:12" x14ac:dyDescent="0.25">
      <c r="D590" s="47"/>
      <c r="H590" s="38"/>
      <c r="I590" s="38"/>
      <c r="J590" s="38"/>
      <c r="K590" s="38"/>
      <c r="L590" s="38"/>
    </row>
    <row r="591" spans="4:12" x14ac:dyDescent="0.25">
      <c r="D591" s="47"/>
      <c r="H591" s="38"/>
      <c r="I591" s="38"/>
      <c r="J591" s="38"/>
      <c r="K591" s="38"/>
      <c r="L591" s="38"/>
    </row>
    <row r="592" spans="4:12" x14ac:dyDescent="0.25">
      <c r="D592" s="47"/>
      <c r="H592" s="38"/>
      <c r="I592" s="38"/>
      <c r="J592" s="38"/>
      <c r="K592" s="38"/>
      <c r="L592" s="38"/>
    </row>
    <row r="593" spans="4:12" x14ac:dyDescent="0.25">
      <c r="D593" s="47"/>
      <c r="H593" s="38"/>
      <c r="I593" s="38"/>
      <c r="J593" s="38"/>
      <c r="K593" s="38"/>
      <c r="L593" s="38"/>
    </row>
    <row r="594" spans="4:12" x14ac:dyDescent="0.25">
      <c r="D594" s="47"/>
      <c r="H594" s="38"/>
      <c r="I594" s="38"/>
      <c r="J594" s="38"/>
      <c r="K594" s="38"/>
      <c r="L594" s="38"/>
    </row>
    <row r="595" spans="4:12" x14ac:dyDescent="0.25">
      <c r="D595" s="47"/>
      <c r="H595" s="38"/>
      <c r="I595" s="38"/>
      <c r="J595" s="38"/>
      <c r="K595" s="38"/>
      <c r="L595" s="38"/>
    </row>
    <row r="596" spans="4:12" x14ac:dyDescent="0.25">
      <c r="D596" s="47"/>
      <c r="H596" s="38"/>
      <c r="I596" s="38"/>
      <c r="J596" s="38"/>
      <c r="K596" s="38"/>
      <c r="L596" s="38"/>
    </row>
    <row r="597" spans="4:12" x14ac:dyDescent="0.25">
      <c r="D597" s="47"/>
      <c r="H597" s="38"/>
      <c r="I597" s="38"/>
      <c r="J597" s="38"/>
      <c r="K597" s="38"/>
      <c r="L597" s="38"/>
    </row>
    <row r="598" spans="4:12" x14ac:dyDescent="0.25">
      <c r="D598" s="47"/>
      <c r="H598" s="38"/>
      <c r="I598" s="38"/>
      <c r="J598" s="38"/>
      <c r="K598" s="38"/>
      <c r="L598" s="38"/>
    </row>
    <row r="599" spans="4:12" x14ac:dyDescent="0.25">
      <c r="D599" s="47"/>
      <c r="H599" s="38"/>
      <c r="I599" s="38"/>
      <c r="J599" s="38"/>
      <c r="K599" s="38"/>
      <c r="L599" s="38"/>
    </row>
    <row r="600" spans="4:12" x14ac:dyDescent="0.25">
      <c r="D600" s="47"/>
      <c r="H600" s="38"/>
      <c r="I600" s="38"/>
      <c r="J600" s="38"/>
      <c r="K600" s="38"/>
      <c r="L600" s="38"/>
    </row>
    <row r="601" spans="4:12" x14ac:dyDescent="0.25">
      <c r="D601" s="47"/>
      <c r="H601" s="38"/>
      <c r="I601" s="38"/>
      <c r="J601" s="38"/>
      <c r="K601" s="38"/>
      <c r="L601" s="38"/>
    </row>
    <row r="602" spans="4:12" x14ac:dyDescent="0.25">
      <c r="D602" s="47"/>
      <c r="H602" s="38"/>
      <c r="I602" s="38"/>
      <c r="J602" s="38"/>
      <c r="K602" s="38"/>
      <c r="L602" s="38"/>
    </row>
    <row r="603" spans="4:12" x14ac:dyDescent="0.25">
      <c r="D603" s="47"/>
      <c r="H603" s="38"/>
      <c r="I603" s="38"/>
      <c r="J603" s="38"/>
      <c r="K603" s="38"/>
      <c r="L603" s="38"/>
    </row>
    <row r="604" spans="4:12" x14ac:dyDescent="0.25">
      <c r="D604" s="47"/>
      <c r="H604" s="38"/>
      <c r="I604" s="38"/>
      <c r="J604" s="38"/>
      <c r="K604" s="38"/>
      <c r="L604" s="38"/>
    </row>
    <row r="605" spans="4:12" x14ac:dyDescent="0.25">
      <c r="D605" s="47"/>
      <c r="H605" s="38"/>
      <c r="I605" s="38"/>
      <c r="J605" s="38"/>
      <c r="K605" s="38"/>
      <c r="L605" s="38"/>
    </row>
    <row r="606" spans="4:12" x14ac:dyDescent="0.25">
      <c r="D606" s="47"/>
      <c r="H606" s="38"/>
      <c r="I606" s="38"/>
      <c r="J606" s="38"/>
      <c r="K606" s="38"/>
      <c r="L606" s="38"/>
    </row>
    <row r="607" spans="4:12" x14ac:dyDescent="0.25">
      <c r="D607" s="47"/>
      <c r="H607" s="38"/>
      <c r="I607" s="38"/>
      <c r="J607" s="38"/>
      <c r="K607" s="38"/>
      <c r="L607" s="38"/>
    </row>
    <row r="608" spans="4:12" x14ac:dyDescent="0.25">
      <c r="D608" s="47"/>
      <c r="H608" s="38"/>
      <c r="I608" s="38"/>
      <c r="J608" s="38"/>
      <c r="K608" s="38"/>
      <c r="L608" s="38"/>
    </row>
    <row r="609" spans="4:12" x14ac:dyDescent="0.25">
      <c r="D609" s="47"/>
      <c r="H609" s="38"/>
      <c r="I609" s="38"/>
      <c r="J609" s="38"/>
      <c r="K609" s="38"/>
      <c r="L609" s="38"/>
    </row>
    <row r="610" spans="4:12" x14ac:dyDescent="0.25">
      <c r="D610" s="47"/>
      <c r="H610" s="38"/>
      <c r="I610" s="38"/>
      <c r="J610" s="38"/>
      <c r="K610" s="38"/>
      <c r="L610" s="38"/>
    </row>
    <row r="611" spans="4:12" x14ac:dyDescent="0.25">
      <c r="D611" s="47"/>
      <c r="H611" s="38"/>
      <c r="I611" s="38"/>
      <c r="J611" s="38"/>
      <c r="K611" s="38"/>
      <c r="L611" s="38"/>
    </row>
    <row r="612" spans="4:12" x14ac:dyDescent="0.25">
      <c r="D612" s="47"/>
      <c r="H612" s="38"/>
      <c r="I612" s="38"/>
      <c r="J612" s="38"/>
      <c r="K612" s="38"/>
      <c r="L612" s="38"/>
    </row>
    <row r="613" spans="4:12" x14ac:dyDescent="0.25">
      <c r="D613" s="47"/>
      <c r="H613" s="38"/>
      <c r="I613" s="38"/>
      <c r="J613" s="38"/>
      <c r="K613" s="38"/>
      <c r="L613" s="38"/>
    </row>
    <row r="614" spans="4:12" x14ac:dyDescent="0.25">
      <c r="D614" s="47"/>
      <c r="H614" s="38"/>
      <c r="I614" s="38"/>
      <c r="J614" s="38"/>
      <c r="K614" s="38"/>
      <c r="L614" s="38"/>
    </row>
    <row r="615" spans="4:12" x14ac:dyDescent="0.25">
      <c r="D615" s="47"/>
      <c r="H615" s="38"/>
      <c r="I615" s="38"/>
      <c r="J615" s="38"/>
      <c r="K615" s="38"/>
      <c r="L615" s="38"/>
    </row>
    <row r="616" spans="4:12" x14ac:dyDescent="0.25">
      <c r="D616" s="47"/>
      <c r="H616" s="38"/>
      <c r="I616" s="38"/>
      <c r="J616" s="38"/>
      <c r="K616" s="38"/>
      <c r="L616" s="38"/>
    </row>
    <row r="617" spans="4:12" x14ac:dyDescent="0.25">
      <c r="D617" s="47"/>
      <c r="H617" s="38"/>
      <c r="I617" s="38"/>
      <c r="J617" s="38"/>
      <c r="K617" s="38"/>
      <c r="L617" s="38"/>
    </row>
    <row r="618" spans="4:12" x14ac:dyDescent="0.25">
      <c r="D618" s="47"/>
      <c r="H618" s="38"/>
      <c r="I618" s="38"/>
      <c r="J618" s="38"/>
      <c r="K618" s="38"/>
      <c r="L618" s="38"/>
    </row>
    <row r="619" spans="4:12" x14ac:dyDescent="0.25">
      <c r="D619" s="47"/>
      <c r="H619" s="38"/>
      <c r="I619" s="38"/>
      <c r="J619" s="38"/>
      <c r="K619" s="38"/>
      <c r="L619" s="38"/>
    </row>
    <row r="620" spans="4:12" x14ac:dyDescent="0.25">
      <c r="D620" s="47"/>
      <c r="H620" s="38"/>
      <c r="I620" s="38"/>
      <c r="J620" s="38"/>
      <c r="K620" s="38"/>
      <c r="L620" s="38"/>
    </row>
    <row r="621" spans="4:12" x14ac:dyDescent="0.25">
      <c r="D621" s="47"/>
      <c r="H621" s="38"/>
      <c r="I621" s="38"/>
      <c r="J621" s="38"/>
      <c r="K621" s="38"/>
      <c r="L621" s="38"/>
    </row>
    <row r="622" spans="4:12" x14ac:dyDescent="0.25">
      <c r="D622" s="47"/>
      <c r="H622" s="38"/>
      <c r="I622" s="38"/>
      <c r="J622" s="38"/>
      <c r="K622" s="38"/>
      <c r="L622" s="38"/>
    </row>
    <row r="623" spans="4:12" x14ac:dyDescent="0.25">
      <c r="D623" s="47"/>
      <c r="H623" s="38"/>
      <c r="I623" s="38"/>
      <c r="J623" s="38"/>
      <c r="K623" s="38"/>
      <c r="L623" s="38"/>
    </row>
    <row r="624" spans="4:12" x14ac:dyDescent="0.25">
      <c r="D624" s="47"/>
      <c r="H624" s="38"/>
      <c r="I624" s="38"/>
      <c r="J624" s="38"/>
      <c r="K624" s="38"/>
      <c r="L624" s="38"/>
    </row>
    <row r="625" spans="4:12" x14ac:dyDescent="0.25">
      <c r="D625" s="47"/>
      <c r="H625" s="38"/>
      <c r="I625" s="38"/>
      <c r="J625" s="38"/>
      <c r="K625" s="38"/>
      <c r="L625" s="38"/>
    </row>
    <row r="626" spans="4:12" x14ac:dyDescent="0.25">
      <c r="D626" s="47"/>
      <c r="H626" s="38"/>
      <c r="I626" s="38"/>
      <c r="J626" s="38"/>
      <c r="K626" s="38"/>
      <c r="L626" s="38"/>
    </row>
    <row r="627" spans="4:12" x14ac:dyDescent="0.25">
      <c r="D627" s="47"/>
      <c r="H627" s="38"/>
      <c r="I627" s="38"/>
      <c r="J627" s="38"/>
      <c r="K627" s="38"/>
      <c r="L627" s="38"/>
    </row>
    <row r="628" spans="4:12" x14ac:dyDescent="0.25">
      <c r="D628" s="47"/>
      <c r="H628" s="38"/>
      <c r="I628" s="38"/>
      <c r="J628" s="38"/>
      <c r="K628" s="38"/>
      <c r="L628" s="38"/>
    </row>
    <row r="629" spans="4:12" x14ac:dyDescent="0.25">
      <c r="D629" s="47"/>
      <c r="H629" s="38"/>
      <c r="I629" s="38"/>
      <c r="J629" s="38"/>
      <c r="K629" s="38"/>
      <c r="L629" s="38"/>
    </row>
    <row r="630" spans="4:12" x14ac:dyDescent="0.25">
      <c r="D630" s="47"/>
      <c r="H630" s="38"/>
      <c r="I630" s="38"/>
      <c r="J630" s="38"/>
      <c r="K630" s="38"/>
      <c r="L630" s="38"/>
    </row>
    <row r="631" spans="4:12" x14ac:dyDescent="0.25">
      <c r="D631" s="47"/>
      <c r="H631" s="38"/>
      <c r="I631" s="38"/>
      <c r="J631" s="38"/>
      <c r="K631" s="38"/>
      <c r="L631" s="38"/>
    </row>
    <row r="632" spans="4:12" x14ac:dyDescent="0.25">
      <c r="D632" s="47"/>
      <c r="H632" s="38"/>
      <c r="I632" s="38"/>
      <c r="J632" s="38"/>
      <c r="K632" s="38"/>
      <c r="L632" s="38"/>
    </row>
    <row r="633" spans="4:12" x14ac:dyDescent="0.25">
      <c r="D633" s="47"/>
      <c r="H633" s="38"/>
      <c r="I633" s="38"/>
      <c r="J633" s="38"/>
      <c r="K633" s="38"/>
      <c r="L633" s="38"/>
    </row>
    <row r="634" spans="4:12" x14ac:dyDescent="0.25">
      <c r="D634" s="47"/>
      <c r="H634" s="38"/>
      <c r="I634" s="38"/>
      <c r="J634" s="38"/>
      <c r="K634" s="38"/>
      <c r="L634" s="38"/>
    </row>
    <row r="635" spans="4:12" x14ac:dyDescent="0.25">
      <c r="D635" s="47"/>
      <c r="H635" s="38"/>
      <c r="I635" s="38"/>
      <c r="J635" s="38"/>
      <c r="K635" s="38"/>
      <c r="L635" s="38"/>
    </row>
    <row r="636" spans="4:12" x14ac:dyDescent="0.25">
      <c r="D636" s="47"/>
      <c r="H636" s="38"/>
      <c r="I636" s="38"/>
      <c r="J636" s="38"/>
      <c r="K636" s="38"/>
      <c r="L636" s="38"/>
    </row>
    <row r="637" spans="4:12" x14ac:dyDescent="0.25">
      <c r="D637" s="47"/>
      <c r="H637" s="38"/>
      <c r="I637" s="38"/>
      <c r="J637" s="38"/>
      <c r="K637" s="38"/>
      <c r="L637" s="38"/>
    </row>
    <row r="638" spans="4:12" x14ac:dyDescent="0.25">
      <c r="D638" s="47"/>
      <c r="H638" s="38"/>
      <c r="I638" s="38"/>
      <c r="J638" s="38"/>
      <c r="K638" s="38"/>
      <c r="L638" s="38"/>
    </row>
    <row r="639" spans="4:12" x14ac:dyDescent="0.25">
      <c r="D639" s="47"/>
      <c r="H639" s="38"/>
      <c r="I639" s="38"/>
      <c r="J639" s="38"/>
      <c r="K639" s="38"/>
      <c r="L639" s="38"/>
    </row>
    <row r="640" spans="4:12" x14ac:dyDescent="0.25">
      <c r="D640" s="47"/>
      <c r="H640" s="38"/>
      <c r="I640" s="38"/>
      <c r="J640" s="38"/>
      <c r="K640" s="38"/>
      <c r="L640" s="38"/>
    </row>
    <row r="641" spans="4:12" x14ac:dyDescent="0.25">
      <c r="D641" s="47"/>
      <c r="H641" s="38"/>
      <c r="I641" s="38"/>
      <c r="J641" s="38"/>
      <c r="K641" s="38"/>
      <c r="L641" s="38"/>
    </row>
    <row r="642" spans="4:12" x14ac:dyDescent="0.25">
      <c r="D642" s="47"/>
      <c r="H642" s="38"/>
      <c r="I642" s="38"/>
      <c r="J642" s="38"/>
      <c r="K642" s="38"/>
      <c r="L642" s="38"/>
    </row>
    <row r="643" spans="4:12" x14ac:dyDescent="0.25">
      <c r="D643" s="47"/>
      <c r="H643" s="38"/>
      <c r="I643" s="38"/>
      <c r="J643" s="38"/>
      <c r="K643" s="38"/>
      <c r="L643" s="38"/>
    </row>
    <row r="644" spans="4:12" x14ac:dyDescent="0.25">
      <c r="D644" s="47"/>
      <c r="H644" s="38"/>
      <c r="I644" s="38"/>
      <c r="J644" s="38"/>
      <c r="K644" s="38"/>
      <c r="L644" s="38"/>
    </row>
    <row r="645" spans="4:12" x14ac:dyDescent="0.25">
      <c r="D645" s="47"/>
      <c r="H645" s="38"/>
      <c r="I645" s="38"/>
      <c r="J645" s="38"/>
      <c r="K645" s="38"/>
      <c r="L645" s="38"/>
    </row>
    <row r="646" spans="4:12" x14ac:dyDescent="0.25">
      <c r="D646" s="47"/>
      <c r="H646" s="38"/>
      <c r="I646" s="38"/>
      <c r="J646" s="38"/>
      <c r="K646" s="38"/>
      <c r="L646" s="38"/>
    </row>
    <row r="647" spans="4:12" x14ac:dyDescent="0.25">
      <c r="D647" s="47"/>
      <c r="H647" s="38"/>
      <c r="I647" s="38"/>
      <c r="J647" s="38"/>
      <c r="K647" s="38"/>
      <c r="L647" s="38"/>
    </row>
    <row r="648" spans="4:12" x14ac:dyDescent="0.25">
      <c r="D648" s="47"/>
      <c r="H648" s="38"/>
      <c r="I648" s="38"/>
      <c r="J648" s="38"/>
      <c r="K648" s="38"/>
      <c r="L648" s="38"/>
    </row>
    <row r="649" spans="4:12" x14ac:dyDescent="0.25">
      <c r="D649" s="47"/>
      <c r="H649" s="38"/>
      <c r="I649" s="38"/>
      <c r="J649" s="38"/>
      <c r="K649" s="38"/>
      <c r="L649" s="38"/>
    </row>
    <row r="650" spans="4:12" x14ac:dyDescent="0.25">
      <c r="D650" s="47"/>
      <c r="H650" s="38"/>
      <c r="I650" s="38"/>
      <c r="J650" s="38"/>
      <c r="K650" s="38"/>
      <c r="L650" s="38"/>
    </row>
    <row r="651" spans="4:12" x14ac:dyDescent="0.25">
      <c r="D651" s="47"/>
      <c r="H651" s="38"/>
      <c r="I651" s="38"/>
      <c r="J651" s="38"/>
      <c r="K651" s="38"/>
      <c r="L651" s="38"/>
    </row>
    <row r="652" spans="4:12" x14ac:dyDescent="0.25">
      <c r="D652" s="47"/>
      <c r="H652" s="38"/>
      <c r="I652" s="38"/>
      <c r="J652" s="38"/>
      <c r="K652" s="38"/>
      <c r="L652" s="38"/>
    </row>
    <row r="653" spans="4:12" x14ac:dyDescent="0.25">
      <c r="D653" s="47"/>
      <c r="H653" s="38"/>
      <c r="I653" s="38"/>
      <c r="J653" s="38"/>
      <c r="K653" s="38"/>
      <c r="L653" s="38"/>
    </row>
    <row r="654" spans="4:12" x14ac:dyDescent="0.25">
      <c r="D654" s="47"/>
      <c r="H654" s="38"/>
      <c r="I654" s="38"/>
      <c r="J654" s="38"/>
      <c r="K654" s="38"/>
      <c r="L654" s="38"/>
    </row>
    <row r="655" spans="4:12" x14ac:dyDescent="0.25">
      <c r="D655" s="47"/>
      <c r="H655" s="38"/>
      <c r="I655" s="38"/>
      <c r="J655" s="38"/>
      <c r="K655" s="38"/>
      <c r="L655" s="38"/>
    </row>
    <row r="656" spans="4:12" x14ac:dyDescent="0.25">
      <c r="D656" s="47"/>
      <c r="H656" s="38"/>
      <c r="I656" s="38"/>
      <c r="J656" s="38"/>
      <c r="K656" s="38"/>
      <c r="L656" s="38"/>
    </row>
    <row r="657" spans="4:12" x14ac:dyDescent="0.25">
      <c r="D657" s="47"/>
      <c r="H657" s="38"/>
      <c r="I657" s="38"/>
      <c r="J657" s="38"/>
      <c r="K657" s="38"/>
      <c r="L657" s="38"/>
    </row>
    <row r="658" spans="4:12" x14ac:dyDescent="0.25">
      <c r="D658" s="47"/>
      <c r="H658" s="38"/>
      <c r="I658" s="38"/>
      <c r="J658" s="38"/>
      <c r="K658" s="38"/>
      <c r="L658" s="38"/>
    </row>
    <row r="659" spans="4:12" x14ac:dyDescent="0.25">
      <c r="D659" s="47"/>
      <c r="H659" s="38"/>
      <c r="I659" s="38"/>
      <c r="J659" s="38"/>
      <c r="K659" s="38"/>
      <c r="L659" s="38"/>
    </row>
    <row r="660" spans="4:12" x14ac:dyDescent="0.25">
      <c r="D660" s="47"/>
      <c r="H660" s="38"/>
      <c r="I660" s="38"/>
      <c r="J660" s="38"/>
      <c r="K660" s="38"/>
      <c r="L660" s="38"/>
    </row>
    <row r="661" spans="4:12" x14ac:dyDescent="0.25">
      <c r="D661" s="47"/>
      <c r="H661" s="38"/>
      <c r="I661" s="38"/>
      <c r="J661" s="38"/>
      <c r="K661" s="38"/>
      <c r="L661" s="38"/>
    </row>
    <row r="662" spans="4:12" x14ac:dyDescent="0.25">
      <c r="D662" s="47"/>
      <c r="H662" s="38"/>
      <c r="I662" s="38"/>
      <c r="J662" s="38"/>
      <c r="K662" s="38"/>
      <c r="L662" s="38"/>
    </row>
    <row r="663" spans="4:12" x14ac:dyDescent="0.25">
      <c r="D663" s="47"/>
      <c r="H663" s="38"/>
      <c r="I663" s="38"/>
      <c r="J663" s="38"/>
      <c r="K663" s="38"/>
      <c r="L663" s="38"/>
    </row>
    <row r="664" spans="4:12" x14ac:dyDescent="0.25">
      <c r="D664" s="47"/>
      <c r="H664" s="38"/>
      <c r="I664" s="38"/>
      <c r="J664" s="38"/>
      <c r="K664" s="38"/>
      <c r="L664" s="38"/>
    </row>
    <row r="665" spans="4:12" x14ac:dyDescent="0.25">
      <c r="D665" s="47"/>
      <c r="H665" s="38"/>
      <c r="I665" s="38"/>
      <c r="J665" s="38"/>
      <c r="K665" s="38"/>
      <c r="L665" s="38"/>
    </row>
    <row r="666" spans="4:12" x14ac:dyDescent="0.25">
      <c r="D666" s="47"/>
      <c r="H666" s="38"/>
      <c r="I666" s="38"/>
      <c r="J666" s="38"/>
      <c r="K666" s="38"/>
      <c r="L666" s="38"/>
    </row>
    <row r="667" spans="4:12" x14ac:dyDescent="0.25">
      <c r="D667" s="47"/>
      <c r="H667" s="38"/>
      <c r="I667" s="38"/>
      <c r="J667" s="38"/>
      <c r="K667" s="38"/>
      <c r="L667" s="38"/>
    </row>
    <row r="668" spans="4:12" x14ac:dyDescent="0.25">
      <c r="D668" s="47"/>
      <c r="H668" s="38"/>
      <c r="I668" s="38"/>
      <c r="J668" s="38"/>
      <c r="K668" s="38"/>
      <c r="L668" s="38"/>
    </row>
    <row r="669" spans="4:12" x14ac:dyDescent="0.25">
      <c r="D669" s="47"/>
      <c r="H669" s="38"/>
      <c r="I669" s="38"/>
      <c r="J669" s="38"/>
      <c r="K669" s="38"/>
      <c r="L669" s="38"/>
    </row>
    <row r="670" spans="4:12" x14ac:dyDescent="0.25">
      <c r="D670" s="47"/>
      <c r="H670" s="38"/>
      <c r="I670" s="38"/>
      <c r="J670" s="38"/>
      <c r="K670" s="38"/>
      <c r="L670" s="38"/>
    </row>
    <row r="671" spans="4:12" x14ac:dyDescent="0.25">
      <c r="D671" s="47"/>
      <c r="H671" s="38"/>
      <c r="I671" s="38"/>
      <c r="J671" s="38"/>
      <c r="K671" s="38"/>
      <c r="L671" s="38"/>
    </row>
    <row r="672" spans="4:12" x14ac:dyDescent="0.25">
      <c r="D672" s="47"/>
      <c r="H672" s="38"/>
      <c r="I672" s="38"/>
      <c r="J672" s="38"/>
      <c r="K672" s="38"/>
      <c r="L672" s="38"/>
    </row>
    <row r="673" spans="4:12" x14ac:dyDescent="0.25">
      <c r="D673" s="47"/>
      <c r="H673" s="38"/>
      <c r="I673" s="38"/>
      <c r="J673" s="38"/>
      <c r="K673" s="38"/>
      <c r="L673" s="38"/>
    </row>
    <row r="674" spans="4:12" x14ac:dyDescent="0.25">
      <c r="D674" s="47"/>
      <c r="H674" s="38"/>
      <c r="I674" s="38"/>
      <c r="J674" s="38"/>
      <c r="K674" s="38"/>
      <c r="L674" s="38"/>
    </row>
    <row r="675" spans="4:12" x14ac:dyDescent="0.25">
      <c r="D675" s="47"/>
      <c r="H675" s="38"/>
      <c r="I675" s="38"/>
      <c r="J675" s="38"/>
      <c r="K675" s="38"/>
      <c r="L675" s="38"/>
    </row>
    <row r="676" spans="4:12" x14ac:dyDescent="0.25">
      <c r="D676" s="47"/>
      <c r="H676" s="38"/>
      <c r="I676" s="38"/>
      <c r="J676" s="38"/>
      <c r="K676" s="38"/>
      <c r="L676" s="38"/>
    </row>
    <row r="677" spans="4:12" x14ac:dyDescent="0.25">
      <c r="D677" s="47"/>
      <c r="H677" s="38"/>
      <c r="I677" s="38"/>
      <c r="J677" s="38"/>
      <c r="K677" s="38"/>
      <c r="L677" s="38"/>
    </row>
    <row r="678" spans="4:12" x14ac:dyDescent="0.25">
      <c r="D678" s="47"/>
      <c r="H678" s="38"/>
      <c r="I678" s="38"/>
      <c r="J678" s="38"/>
      <c r="K678" s="38"/>
      <c r="L678" s="38"/>
    </row>
    <row r="679" spans="4:12" x14ac:dyDescent="0.25">
      <c r="D679" s="47"/>
      <c r="H679" s="38"/>
      <c r="I679" s="38"/>
      <c r="J679" s="38"/>
      <c r="K679" s="38"/>
      <c r="L679" s="38"/>
    </row>
    <row r="680" spans="4:12" x14ac:dyDescent="0.25">
      <c r="D680" s="47"/>
      <c r="H680" s="38"/>
      <c r="I680" s="38"/>
      <c r="J680" s="38"/>
      <c r="K680" s="38"/>
      <c r="L680" s="38"/>
    </row>
    <row r="681" spans="4:12" x14ac:dyDescent="0.25">
      <c r="D681" s="47"/>
      <c r="H681" s="38"/>
      <c r="I681" s="38"/>
      <c r="J681" s="38"/>
      <c r="K681" s="38"/>
      <c r="L681" s="38"/>
    </row>
    <row r="682" spans="4:12" x14ac:dyDescent="0.25">
      <c r="D682" s="47"/>
      <c r="H682" s="38"/>
      <c r="I682" s="38"/>
      <c r="J682" s="38"/>
      <c r="K682" s="38"/>
      <c r="L682" s="38"/>
    </row>
    <row r="683" spans="4:12" x14ac:dyDescent="0.25">
      <c r="D683" s="47"/>
      <c r="H683" s="38"/>
      <c r="I683" s="38"/>
      <c r="J683" s="38"/>
      <c r="K683" s="38"/>
      <c r="L683" s="38"/>
    </row>
    <row r="684" spans="4:12" x14ac:dyDescent="0.25">
      <c r="D684" s="47"/>
      <c r="H684" s="38"/>
      <c r="I684" s="38"/>
      <c r="J684" s="38"/>
      <c r="K684" s="38"/>
      <c r="L684" s="38"/>
    </row>
    <row r="685" spans="4:12" x14ac:dyDescent="0.25">
      <c r="D685" s="47"/>
      <c r="H685" s="38"/>
      <c r="I685" s="38"/>
      <c r="J685" s="38"/>
      <c r="K685" s="38"/>
      <c r="L685" s="38"/>
    </row>
    <row r="686" spans="4:12" x14ac:dyDescent="0.25">
      <c r="D686" s="47"/>
      <c r="H686" s="38"/>
      <c r="I686" s="38"/>
      <c r="J686" s="38"/>
      <c r="K686" s="38"/>
      <c r="L686" s="38"/>
    </row>
    <row r="687" spans="4:12" x14ac:dyDescent="0.25">
      <c r="D687" s="47"/>
      <c r="H687" s="38"/>
      <c r="I687" s="38"/>
      <c r="J687" s="38"/>
      <c r="K687" s="38"/>
      <c r="L687" s="38"/>
    </row>
    <row r="688" spans="4:12" x14ac:dyDescent="0.25">
      <c r="D688" s="47"/>
      <c r="H688" s="38"/>
      <c r="I688" s="38"/>
      <c r="J688" s="38"/>
      <c r="K688" s="38"/>
      <c r="L688" s="38"/>
    </row>
    <row r="689" spans="4:12" x14ac:dyDescent="0.25">
      <c r="D689" s="47"/>
      <c r="H689" s="38"/>
      <c r="I689" s="38"/>
      <c r="J689" s="38"/>
      <c r="K689" s="38"/>
      <c r="L689" s="38"/>
    </row>
    <row r="690" spans="4:12" x14ac:dyDescent="0.25">
      <c r="D690" s="47"/>
      <c r="H690" s="38"/>
      <c r="I690" s="38"/>
      <c r="J690" s="38"/>
      <c r="K690" s="38"/>
      <c r="L690" s="38"/>
    </row>
    <row r="691" spans="4:12" x14ac:dyDescent="0.25">
      <c r="D691" s="47"/>
      <c r="H691" s="38"/>
      <c r="I691" s="38"/>
      <c r="J691" s="38"/>
      <c r="K691" s="38"/>
      <c r="L691" s="38"/>
    </row>
    <row r="692" spans="4:12" x14ac:dyDescent="0.25">
      <c r="D692" s="47"/>
      <c r="H692" s="38"/>
      <c r="I692" s="38"/>
      <c r="J692" s="38"/>
      <c r="K692" s="38"/>
      <c r="L692" s="38"/>
    </row>
    <row r="693" spans="4:12" x14ac:dyDescent="0.25">
      <c r="D693" s="47"/>
      <c r="H693" s="38"/>
      <c r="I693" s="38"/>
      <c r="J693" s="38"/>
      <c r="K693" s="38"/>
      <c r="L693" s="38"/>
    </row>
    <row r="694" spans="4:12" x14ac:dyDescent="0.25">
      <c r="D694" s="47"/>
      <c r="H694" s="38"/>
      <c r="I694" s="38"/>
      <c r="J694" s="38"/>
      <c r="K694" s="38"/>
      <c r="L694" s="38"/>
    </row>
    <row r="695" spans="4:12" x14ac:dyDescent="0.25">
      <c r="D695" s="47"/>
      <c r="H695" s="38"/>
      <c r="I695" s="38"/>
      <c r="J695" s="38"/>
      <c r="K695" s="38"/>
      <c r="L695" s="38"/>
    </row>
    <row r="696" spans="4:12" x14ac:dyDescent="0.25">
      <c r="D696" s="47"/>
      <c r="H696" s="38"/>
      <c r="I696" s="38"/>
      <c r="J696" s="38"/>
      <c r="K696" s="38"/>
      <c r="L696" s="38"/>
    </row>
    <row r="697" spans="4:12" x14ac:dyDescent="0.25">
      <c r="D697" s="47"/>
      <c r="H697" s="38"/>
      <c r="I697" s="38"/>
      <c r="J697" s="38"/>
      <c r="K697" s="38"/>
      <c r="L697" s="38"/>
    </row>
    <row r="698" spans="4:12" x14ac:dyDescent="0.25">
      <c r="D698" s="47"/>
      <c r="H698" s="38"/>
      <c r="I698" s="38"/>
      <c r="J698" s="38"/>
      <c r="K698" s="38"/>
      <c r="L698" s="38"/>
    </row>
    <row r="699" spans="4:12" x14ac:dyDescent="0.25">
      <c r="D699" s="47"/>
      <c r="H699" s="38"/>
      <c r="I699" s="38"/>
      <c r="J699" s="38"/>
      <c r="K699" s="38"/>
      <c r="L699" s="38"/>
    </row>
    <row r="700" spans="4:12" x14ac:dyDescent="0.25">
      <c r="D700" s="47"/>
      <c r="H700" s="38"/>
      <c r="I700" s="38"/>
      <c r="J700" s="38"/>
      <c r="K700" s="38"/>
      <c r="L700" s="38"/>
    </row>
    <row r="701" spans="4:12" x14ac:dyDescent="0.25">
      <c r="D701" s="47"/>
      <c r="H701" s="38"/>
      <c r="I701" s="38"/>
      <c r="J701" s="38"/>
      <c r="K701" s="38"/>
      <c r="L701" s="38"/>
    </row>
    <row r="702" spans="4:12" x14ac:dyDescent="0.25">
      <c r="D702" s="47"/>
      <c r="H702" s="38"/>
      <c r="I702" s="38"/>
      <c r="J702" s="38"/>
      <c r="K702" s="38"/>
      <c r="L702" s="38"/>
    </row>
    <row r="703" spans="4:12" x14ac:dyDescent="0.25">
      <c r="D703" s="47"/>
      <c r="H703" s="38"/>
      <c r="I703" s="38"/>
      <c r="J703" s="38"/>
      <c r="K703" s="38"/>
      <c r="L703" s="38"/>
    </row>
    <row r="704" spans="4:12" x14ac:dyDescent="0.25">
      <c r="D704" s="47"/>
      <c r="H704" s="38"/>
      <c r="I704" s="38"/>
      <c r="J704" s="38"/>
      <c r="K704" s="38"/>
      <c r="L704" s="38"/>
    </row>
    <row r="705" spans="4:12" x14ac:dyDescent="0.25">
      <c r="D705" s="47"/>
      <c r="H705" s="38"/>
      <c r="I705" s="38"/>
      <c r="J705" s="38"/>
      <c r="K705" s="38"/>
      <c r="L705" s="38"/>
    </row>
    <row r="706" spans="4:12" x14ac:dyDescent="0.25">
      <c r="D706" s="47"/>
      <c r="H706" s="38"/>
      <c r="I706" s="38"/>
      <c r="J706" s="38"/>
      <c r="K706" s="38"/>
      <c r="L706" s="38"/>
    </row>
    <row r="707" spans="4:12" x14ac:dyDescent="0.25">
      <c r="D707" s="47"/>
      <c r="H707" s="38"/>
      <c r="I707" s="38"/>
      <c r="J707" s="38"/>
      <c r="K707" s="38"/>
      <c r="L707" s="38"/>
    </row>
    <row r="708" spans="4:12" x14ac:dyDescent="0.25">
      <c r="D708" s="47"/>
      <c r="H708" s="38"/>
      <c r="I708" s="38"/>
      <c r="J708" s="38"/>
      <c r="K708" s="38"/>
      <c r="L708" s="38"/>
    </row>
    <row r="709" spans="4:12" x14ac:dyDescent="0.25">
      <c r="D709" s="47"/>
      <c r="H709" s="38"/>
      <c r="I709" s="38"/>
      <c r="J709" s="38"/>
      <c r="K709" s="38"/>
      <c r="L709" s="38"/>
    </row>
    <row r="710" spans="4:12" x14ac:dyDescent="0.25">
      <c r="D710" s="47"/>
      <c r="H710" s="38"/>
      <c r="I710" s="38"/>
      <c r="J710" s="38"/>
      <c r="K710" s="38"/>
      <c r="L710" s="38"/>
    </row>
    <row r="711" spans="4:12" x14ac:dyDescent="0.25">
      <c r="D711" s="47"/>
      <c r="H711" s="38"/>
      <c r="I711" s="38"/>
      <c r="J711" s="38"/>
      <c r="K711" s="38"/>
      <c r="L711" s="38"/>
    </row>
    <row r="712" spans="4:12" x14ac:dyDescent="0.25">
      <c r="D712" s="47"/>
      <c r="H712" s="38"/>
      <c r="I712" s="38"/>
      <c r="J712" s="38"/>
      <c r="K712" s="38"/>
      <c r="L712" s="38"/>
    </row>
    <row r="713" spans="4:12" x14ac:dyDescent="0.25">
      <c r="D713" s="47"/>
      <c r="H713" s="38"/>
      <c r="I713" s="38"/>
      <c r="J713" s="38"/>
      <c r="K713" s="38"/>
      <c r="L713" s="38"/>
    </row>
    <row r="714" spans="4:12" x14ac:dyDescent="0.25">
      <c r="D714" s="47"/>
      <c r="H714" s="38"/>
      <c r="I714" s="38"/>
      <c r="J714" s="38"/>
      <c r="K714" s="38"/>
      <c r="L714" s="38"/>
    </row>
    <row r="715" spans="4:12" x14ac:dyDescent="0.25">
      <c r="D715" s="47"/>
      <c r="H715" s="38"/>
      <c r="I715" s="38"/>
      <c r="J715" s="38"/>
      <c r="K715" s="38"/>
      <c r="L715" s="38"/>
    </row>
    <row r="716" spans="4:12" x14ac:dyDescent="0.25">
      <c r="D716" s="47"/>
      <c r="H716" s="38"/>
      <c r="I716" s="38"/>
      <c r="J716" s="38"/>
      <c r="K716" s="38"/>
      <c r="L716" s="38"/>
    </row>
    <row r="717" spans="4:12" x14ac:dyDescent="0.25">
      <c r="D717" s="47"/>
      <c r="H717" s="38"/>
      <c r="I717" s="38"/>
      <c r="J717" s="38"/>
      <c r="K717" s="38"/>
      <c r="L717" s="38"/>
    </row>
    <row r="718" spans="4:12" x14ac:dyDescent="0.25">
      <c r="D718" s="47"/>
      <c r="H718" s="38"/>
      <c r="I718" s="38"/>
      <c r="J718" s="38"/>
      <c r="K718" s="38"/>
      <c r="L718" s="38"/>
    </row>
    <row r="719" spans="4:12" x14ac:dyDescent="0.25">
      <c r="D719" s="47"/>
      <c r="H719" s="38"/>
      <c r="I719" s="38"/>
      <c r="J719" s="38"/>
      <c r="K719" s="38"/>
      <c r="L719" s="38"/>
    </row>
    <row r="720" spans="4:12" x14ac:dyDescent="0.25">
      <c r="D720" s="47"/>
      <c r="H720" s="38"/>
      <c r="I720" s="38"/>
      <c r="J720" s="38"/>
      <c r="K720" s="38"/>
      <c r="L720" s="38"/>
    </row>
    <row r="721" spans="4:12" x14ac:dyDescent="0.25">
      <c r="D721" s="47"/>
      <c r="H721" s="38"/>
      <c r="I721" s="38"/>
      <c r="J721" s="38"/>
      <c r="K721" s="38"/>
      <c r="L721" s="38"/>
    </row>
    <row r="722" spans="4:12" x14ac:dyDescent="0.25">
      <c r="D722" s="47"/>
      <c r="H722" s="38"/>
      <c r="I722" s="38"/>
      <c r="J722" s="38"/>
      <c r="K722" s="38"/>
      <c r="L722" s="38"/>
    </row>
    <row r="723" spans="4:12" x14ac:dyDescent="0.25">
      <c r="D723" s="47"/>
      <c r="H723" s="38"/>
      <c r="I723" s="38"/>
      <c r="J723" s="38"/>
      <c r="K723" s="38"/>
      <c r="L723" s="38"/>
    </row>
    <row r="724" spans="4:12" x14ac:dyDescent="0.25">
      <c r="D724" s="47"/>
      <c r="H724" s="38"/>
      <c r="I724" s="38"/>
      <c r="J724" s="38"/>
      <c r="K724" s="38"/>
      <c r="L724" s="38"/>
    </row>
    <row r="725" spans="4:12" x14ac:dyDescent="0.25">
      <c r="D725" s="47"/>
      <c r="H725" s="38"/>
      <c r="I725" s="38"/>
      <c r="J725" s="38"/>
      <c r="K725" s="38"/>
      <c r="L725" s="38"/>
    </row>
    <row r="726" spans="4:12" x14ac:dyDescent="0.25">
      <c r="D726" s="47"/>
      <c r="H726" s="38"/>
      <c r="I726" s="38"/>
      <c r="J726" s="38"/>
      <c r="K726" s="38"/>
      <c r="L726" s="38"/>
    </row>
    <row r="727" spans="4:12" x14ac:dyDescent="0.25">
      <c r="D727" s="47"/>
      <c r="H727" s="38"/>
      <c r="I727" s="38"/>
      <c r="J727" s="38"/>
      <c r="K727" s="38"/>
      <c r="L727" s="38"/>
    </row>
    <row r="728" spans="4:12" x14ac:dyDescent="0.25">
      <c r="D728" s="47"/>
      <c r="H728" s="38"/>
      <c r="I728" s="38"/>
      <c r="J728" s="38"/>
      <c r="K728" s="38"/>
      <c r="L728" s="38"/>
    </row>
    <row r="729" spans="4:12" x14ac:dyDescent="0.25">
      <c r="D729" s="47"/>
      <c r="H729" s="38"/>
      <c r="I729" s="38"/>
      <c r="J729" s="38"/>
      <c r="K729" s="38"/>
      <c r="L729" s="38"/>
    </row>
    <row r="730" spans="4:12" x14ac:dyDescent="0.25">
      <c r="D730" s="47"/>
      <c r="H730" s="38"/>
      <c r="I730" s="38"/>
      <c r="J730" s="38"/>
      <c r="K730" s="38"/>
      <c r="L730" s="38"/>
    </row>
    <row r="731" spans="4:12" x14ac:dyDescent="0.25">
      <c r="D731" s="47"/>
      <c r="H731" s="38"/>
      <c r="I731" s="38"/>
      <c r="J731" s="38"/>
      <c r="K731" s="38"/>
      <c r="L731" s="38"/>
    </row>
    <row r="732" spans="4:12" x14ac:dyDescent="0.25">
      <c r="D732" s="47"/>
      <c r="H732" s="38"/>
      <c r="I732" s="38"/>
      <c r="J732" s="38"/>
      <c r="K732" s="38"/>
      <c r="L732" s="38"/>
    </row>
    <row r="733" spans="4:12" x14ac:dyDescent="0.25">
      <c r="D733" s="47"/>
      <c r="H733" s="38"/>
      <c r="I733" s="38"/>
      <c r="J733" s="38"/>
      <c r="K733" s="38"/>
      <c r="L733" s="38"/>
    </row>
    <row r="734" spans="4:12" x14ac:dyDescent="0.25">
      <c r="D734" s="47"/>
      <c r="H734" s="38"/>
      <c r="I734" s="38"/>
      <c r="J734" s="38"/>
      <c r="K734" s="38"/>
      <c r="L734" s="38"/>
    </row>
    <row r="735" spans="4:12" x14ac:dyDescent="0.25">
      <c r="D735" s="47"/>
      <c r="H735" s="38"/>
      <c r="I735" s="38"/>
      <c r="J735" s="38"/>
      <c r="K735" s="38"/>
      <c r="L735" s="38"/>
    </row>
    <row r="736" spans="4:12" x14ac:dyDescent="0.25">
      <c r="D736" s="47"/>
      <c r="H736" s="38"/>
      <c r="I736" s="38"/>
      <c r="J736" s="38"/>
      <c r="K736" s="38"/>
      <c r="L736" s="38"/>
    </row>
    <row r="737" spans="4:12" x14ac:dyDescent="0.25">
      <c r="D737" s="47"/>
      <c r="H737" s="38"/>
      <c r="I737" s="38"/>
      <c r="J737" s="38"/>
      <c r="K737" s="38"/>
      <c r="L737" s="38"/>
    </row>
    <row r="738" spans="4:12" x14ac:dyDescent="0.25">
      <c r="D738" s="47"/>
      <c r="H738" s="38"/>
      <c r="I738" s="38"/>
      <c r="J738" s="38"/>
      <c r="K738" s="38"/>
      <c r="L738" s="38"/>
    </row>
    <row r="739" spans="4:12" x14ac:dyDescent="0.25">
      <c r="D739" s="47"/>
      <c r="H739" s="38"/>
      <c r="I739" s="38"/>
      <c r="J739" s="38"/>
      <c r="K739" s="38"/>
      <c r="L739" s="38"/>
    </row>
    <row r="740" spans="4:12" x14ac:dyDescent="0.25">
      <c r="D740" s="47"/>
      <c r="H740" s="38"/>
      <c r="I740" s="38"/>
      <c r="J740" s="38"/>
      <c r="K740" s="38"/>
      <c r="L740" s="38"/>
    </row>
    <row r="741" spans="4:12" x14ac:dyDescent="0.25">
      <c r="D741" s="47"/>
      <c r="H741" s="38"/>
      <c r="I741" s="38"/>
      <c r="J741" s="38"/>
      <c r="K741" s="38"/>
      <c r="L741" s="38"/>
    </row>
    <row r="742" spans="4:12" x14ac:dyDescent="0.25">
      <c r="D742" s="47"/>
      <c r="H742" s="38"/>
      <c r="I742" s="38"/>
      <c r="J742" s="38"/>
      <c r="K742" s="38"/>
      <c r="L742" s="38"/>
    </row>
    <row r="743" spans="4:12" x14ac:dyDescent="0.25">
      <c r="D743" s="47"/>
      <c r="H743" s="38"/>
      <c r="I743" s="38"/>
      <c r="J743" s="38"/>
      <c r="K743" s="38"/>
      <c r="L743" s="38"/>
    </row>
    <row r="744" spans="4:12" x14ac:dyDescent="0.25">
      <c r="D744" s="47"/>
      <c r="H744" s="38"/>
      <c r="I744" s="38"/>
      <c r="J744" s="38"/>
      <c r="K744" s="38"/>
      <c r="L744" s="38"/>
    </row>
    <row r="745" spans="4:12" x14ac:dyDescent="0.25">
      <c r="D745" s="47"/>
      <c r="H745" s="38"/>
      <c r="I745" s="38"/>
      <c r="J745" s="38"/>
      <c r="K745" s="38"/>
      <c r="L745" s="38"/>
    </row>
    <row r="746" spans="4:12" x14ac:dyDescent="0.25">
      <c r="D746" s="47"/>
      <c r="H746" s="38"/>
      <c r="I746" s="38"/>
      <c r="J746" s="38"/>
      <c r="K746" s="38"/>
      <c r="L746" s="38"/>
    </row>
    <row r="747" spans="4:12" x14ac:dyDescent="0.25">
      <c r="D747" s="47"/>
      <c r="H747" s="38"/>
      <c r="I747" s="38"/>
      <c r="J747" s="38"/>
      <c r="K747" s="38"/>
      <c r="L747" s="38"/>
    </row>
    <row r="748" spans="4:12" x14ac:dyDescent="0.25">
      <c r="D748" s="47"/>
      <c r="H748" s="38"/>
      <c r="I748" s="38"/>
      <c r="J748" s="38"/>
      <c r="K748" s="38"/>
      <c r="L748" s="38"/>
    </row>
    <row r="749" spans="4:12" x14ac:dyDescent="0.25">
      <c r="D749" s="47"/>
      <c r="H749" s="38"/>
      <c r="I749" s="38"/>
      <c r="J749" s="38"/>
      <c r="K749" s="38"/>
      <c r="L749" s="38"/>
    </row>
    <row r="750" spans="4:12" x14ac:dyDescent="0.25">
      <c r="D750" s="47"/>
      <c r="H750" s="38"/>
      <c r="I750" s="38"/>
      <c r="J750" s="38"/>
      <c r="K750" s="38"/>
      <c r="L750" s="38"/>
    </row>
    <row r="751" spans="4:12" x14ac:dyDescent="0.25">
      <c r="D751" s="47"/>
      <c r="H751" s="38"/>
      <c r="I751" s="38"/>
      <c r="J751" s="38"/>
      <c r="K751" s="38"/>
      <c r="L751" s="38"/>
    </row>
    <row r="752" spans="4:12" x14ac:dyDescent="0.25">
      <c r="D752" s="47"/>
      <c r="H752" s="38"/>
      <c r="I752" s="38"/>
      <c r="J752" s="38"/>
      <c r="K752" s="38"/>
      <c r="L752" s="38"/>
    </row>
    <row r="753" spans="4:12" x14ac:dyDescent="0.25">
      <c r="D753" s="47"/>
      <c r="H753" s="38"/>
      <c r="I753" s="38"/>
      <c r="J753" s="38"/>
      <c r="K753" s="38"/>
      <c r="L753" s="38"/>
    </row>
    <row r="754" spans="4:12" x14ac:dyDescent="0.25">
      <c r="D754" s="47"/>
      <c r="H754" s="38"/>
      <c r="I754" s="38"/>
      <c r="J754" s="38"/>
      <c r="K754" s="38"/>
      <c r="L754" s="38"/>
    </row>
    <row r="755" spans="4:12" x14ac:dyDescent="0.25">
      <c r="D755" s="47"/>
      <c r="H755" s="38"/>
      <c r="I755" s="38"/>
      <c r="J755" s="38"/>
      <c r="K755" s="38"/>
      <c r="L755" s="38"/>
    </row>
    <row r="756" spans="4:12" x14ac:dyDescent="0.25">
      <c r="D756" s="47"/>
      <c r="H756" s="38"/>
      <c r="I756" s="38"/>
      <c r="J756" s="38"/>
      <c r="K756" s="38"/>
      <c r="L756" s="38"/>
    </row>
    <row r="757" spans="4:12" x14ac:dyDescent="0.25">
      <c r="D757" s="47"/>
      <c r="H757" s="38"/>
      <c r="I757" s="38"/>
      <c r="J757" s="38"/>
      <c r="K757" s="38"/>
      <c r="L757" s="38"/>
    </row>
    <row r="758" spans="4:12" x14ac:dyDescent="0.25">
      <c r="D758" s="47"/>
      <c r="H758" s="38"/>
      <c r="I758" s="38"/>
      <c r="J758" s="38"/>
      <c r="K758" s="38"/>
      <c r="L758" s="38"/>
    </row>
    <row r="759" spans="4:12" x14ac:dyDescent="0.25">
      <c r="D759" s="47"/>
      <c r="H759" s="38"/>
      <c r="I759" s="38"/>
      <c r="J759" s="38"/>
      <c r="K759" s="38"/>
      <c r="L759" s="38"/>
    </row>
    <row r="760" spans="4:12" x14ac:dyDescent="0.25">
      <c r="D760" s="47"/>
      <c r="H760" s="38"/>
      <c r="I760" s="38"/>
      <c r="J760" s="38"/>
      <c r="K760" s="38"/>
      <c r="L760" s="38"/>
    </row>
    <row r="761" spans="4:12" x14ac:dyDescent="0.25">
      <c r="D761" s="47"/>
      <c r="H761" s="38"/>
      <c r="I761" s="38"/>
      <c r="J761" s="38"/>
      <c r="K761" s="38"/>
      <c r="L761" s="38"/>
    </row>
    <row r="762" spans="4:12" x14ac:dyDescent="0.25">
      <c r="D762" s="47"/>
      <c r="H762" s="38"/>
      <c r="I762" s="38"/>
      <c r="J762" s="38"/>
      <c r="K762" s="38"/>
      <c r="L762" s="38"/>
    </row>
    <row r="763" spans="4:12" x14ac:dyDescent="0.25">
      <c r="D763" s="47"/>
      <c r="H763" s="38"/>
      <c r="I763" s="38"/>
      <c r="J763" s="38"/>
      <c r="K763" s="38"/>
      <c r="L763" s="38"/>
    </row>
    <row r="764" spans="4:12" x14ac:dyDescent="0.25">
      <c r="D764" s="47"/>
      <c r="H764" s="38"/>
      <c r="I764" s="38"/>
      <c r="J764" s="38"/>
      <c r="K764" s="38"/>
      <c r="L764" s="38"/>
    </row>
    <row r="765" spans="4:12" x14ac:dyDescent="0.25">
      <c r="D765" s="47"/>
      <c r="H765" s="38"/>
      <c r="I765" s="38"/>
      <c r="J765" s="38"/>
      <c r="K765" s="38"/>
      <c r="L765" s="38"/>
    </row>
    <row r="766" spans="4:12" x14ac:dyDescent="0.25">
      <c r="D766" s="47"/>
      <c r="H766" s="38"/>
      <c r="I766" s="38"/>
      <c r="J766" s="38"/>
      <c r="K766" s="38"/>
      <c r="L766" s="38"/>
    </row>
    <row r="767" spans="4:12" x14ac:dyDescent="0.25">
      <c r="D767" s="47"/>
      <c r="H767" s="38"/>
      <c r="I767" s="38"/>
      <c r="J767" s="38"/>
      <c r="K767" s="38"/>
      <c r="L767" s="38"/>
    </row>
    <row r="768" spans="4:12" x14ac:dyDescent="0.25">
      <c r="D768" s="47"/>
      <c r="H768" s="38"/>
      <c r="I768" s="38"/>
      <c r="J768" s="38"/>
      <c r="K768" s="38"/>
      <c r="L768" s="38"/>
    </row>
    <row r="769" spans="4:12" x14ac:dyDescent="0.25">
      <c r="D769" s="47"/>
      <c r="H769" s="38"/>
      <c r="I769" s="38"/>
      <c r="J769" s="38"/>
      <c r="K769" s="38"/>
      <c r="L769" s="38"/>
    </row>
    <row r="770" spans="4:12" x14ac:dyDescent="0.25">
      <c r="D770" s="47"/>
      <c r="H770" s="38"/>
      <c r="I770" s="38"/>
      <c r="J770" s="38"/>
      <c r="K770" s="38"/>
      <c r="L770" s="38"/>
    </row>
    <row r="771" spans="4:12" x14ac:dyDescent="0.25">
      <c r="D771" s="47"/>
      <c r="H771" s="38"/>
      <c r="I771" s="38"/>
      <c r="J771" s="38"/>
      <c r="K771" s="38"/>
      <c r="L771" s="38"/>
    </row>
    <row r="772" spans="4:12" x14ac:dyDescent="0.25">
      <c r="D772" s="47"/>
      <c r="H772" s="38"/>
      <c r="I772" s="38"/>
      <c r="J772" s="38"/>
      <c r="K772" s="38"/>
      <c r="L772" s="38"/>
    </row>
    <row r="773" spans="4:12" x14ac:dyDescent="0.25">
      <c r="D773" s="47"/>
      <c r="H773" s="38"/>
      <c r="I773" s="38"/>
      <c r="J773" s="38"/>
      <c r="K773" s="38"/>
      <c r="L773" s="38"/>
    </row>
    <row r="774" spans="4:12" x14ac:dyDescent="0.25">
      <c r="D774" s="47"/>
      <c r="H774" s="38"/>
      <c r="I774" s="38"/>
      <c r="J774" s="38"/>
      <c r="K774" s="38"/>
      <c r="L774" s="38"/>
    </row>
    <row r="775" spans="4:12" x14ac:dyDescent="0.25">
      <c r="D775" s="47"/>
      <c r="H775" s="38"/>
      <c r="I775" s="38"/>
      <c r="J775" s="38"/>
      <c r="K775" s="38"/>
      <c r="L775" s="38"/>
    </row>
    <row r="776" spans="4:12" x14ac:dyDescent="0.25">
      <c r="D776" s="47"/>
      <c r="H776" s="38"/>
      <c r="I776" s="38"/>
      <c r="J776" s="38"/>
      <c r="K776" s="38"/>
      <c r="L776" s="38"/>
    </row>
    <row r="777" spans="4:12" x14ac:dyDescent="0.25">
      <c r="D777" s="47"/>
      <c r="H777" s="38"/>
      <c r="I777" s="38"/>
      <c r="J777" s="38"/>
      <c r="K777" s="38"/>
      <c r="L777" s="38"/>
    </row>
    <row r="778" spans="4:12" x14ac:dyDescent="0.25">
      <c r="D778" s="47"/>
      <c r="H778" s="38"/>
      <c r="I778" s="38"/>
      <c r="J778" s="38"/>
      <c r="K778" s="38"/>
      <c r="L778" s="38"/>
    </row>
    <row r="779" spans="4:12" x14ac:dyDescent="0.25">
      <c r="D779" s="47"/>
      <c r="H779" s="38"/>
      <c r="I779" s="38"/>
      <c r="J779" s="38"/>
      <c r="K779" s="38"/>
      <c r="L779" s="38"/>
    </row>
    <row r="780" spans="4:12" x14ac:dyDescent="0.25">
      <c r="D780" s="47"/>
      <c r="H780" s="38"/>
      <c r="I780" s="38"/>
      <c r="J780" s="38"/>
      <c r="K780" s="38"/>
      <c r="L780" s="38"/>
    </row>
    <row r="781" spans="4:12" x14ac:dyDescent="0.25">
      <c r="D781" s="47"/>
      <c r="H781" s="38"/>
      <c r="I781" s="38"/>
      <c r="J781" s="38"/>
      <c r="K781" s="38"/>
      <c r="L781" s="38"/>
    </row>
    <row r="782" spans="4:12" x14ac:dyDescent="0.25">
      <c r="D782" s="47"/>
      <c r="H782" s="38"/>
      <c r="I782" s="38"/>
      <c r="J782" s="38"/>
      <c r="K782" s="38"/>
      <c r="L782" s="38"/>
    </row>
    <row r="783" spans="4:12" x14ac:dyDescent="0.25">
      <c r="D783" s="47"/>
      <c r="H783" s="38"/>
      <c r="I783" s="38"/>
      <c r="J783" s="38"/>
      <c r="K783" s="38"/>
      <c r="L783" s="38"/>
    </row>
    <row r="784" spans="4:12" x14ac:dyDescent="0.25">
      <c r="D784" s="47"/>
      <c r="H784" s="38"/>
      <c r="I784" s="38"/>
      <c r="J784" s="38"/>
      <c r="K784" s="38"/>
      <c r="L784" s="38"/>
    </row>
    <row r="785" spans="4:12" x14ac:dyDescent="0.25">
      <c r="D785" s="47"/>
      <c r="H785" s="38"/>
      <c r="I785" s="38"/>
      <c r="J785" s="38"/>
      <c r="K785" s="38"/>
      <c r="L785" s="38"/>
    </row>
    <row r="786" spans="4:12" x14ac:dyDescent="0.25">
      <c r="D786" s="47"/>
      <c r="H786" s="38"/>
      <c r="I786" s="38"/>
      <c r="J786" s="38"/>
      <c r="K786" s="38"/>
      <c r="L786" s="38"/>
    </row>
    <row r="787" spans="4:12" x14ac:dyDescent="0.25">
      <c r="D787" s="47"/>
      <c r="H787" s="38"/>
      <c r="I787" s="38"/>
      <c r="J787" s="38"/>
      <c r="K787" s="38"/>
      <c r="L787" s="38"/>
    </row>
    <row r="788" spans="4:12" x14ac:dyDescent="0.25">
      <c r="D788" s="47"/>
      <c r="H788" s="38"/>
      <c r="I788" s="38"/>
      <c r="J788" s="38"/>
      <c r="K788" s="38"/>
      <c r="L788" s="38"/>
    </row>
    <row r="789" spans="4:12" x14ac:dyDescent="0.25">
      <c r="D789" s="47"/>
      <c r="H789" s="38"/>
      <c r="I789" s="38"/>
      <c r="J789" s="38"/>
      <c r="K789" s="38"/>
      <c r="L789" s="38"/>
    </row>
    <row r="790" spans="4:12" x14ac:dyDescent="0.25">
      <c r="D790" s="47"/>
      <c r="H790" s="38"/>
      <c r="I790" s="38"/>
      <c r="J790" s="38"/>
      <c r="K790" s="38"/>
      <c r="L790" s="38"/>
    </row>
    <row r="791" spans="4:12" x14ac:dyDescent="0.25">
      <c r="D791" s="47"/>
      <c r="H791" s="38"/>
      <c r="I791" s="38"/>
      <c r="J791" s="38"/>
      <c r="K791" s="38"/>
      <c r="L791" s="38"/>
    </row>
    <row r="792" spans="4:12" x14ac:dyDescent="0.25">
      <c r="D792" s="47"/>
      <c r="H792" s="38"/>
      <c r="I792" s="38"/>
      <c r="J792" s="38"/>
      <c r="K792" s="38"/>
      <c r="L792" s="38"/>
    </row>
    <row r="793" spans="4:12" x14ac:dyDescent="0.25">
      <c r="D793" s="47"/>
      <c r="H793" s="38"/>
      <c r="I793" s="38"/>
      <c r="J793" s="38"/>
      <c r="K793" s="38"/>
      <c r="L793" s="38"/>
    </row>
    <row r="794" spans="4:12" x14ac:dyDescent="0.25">
      <c r="D794" s="47"/>
      <c r="H794" s="38"/>
      <c r="I794" s="38"/>
      <c r="J794" s="38"/>
      <c r="K794" s="38"/>
      <c r="L794" s="38"/>
    </row>
    <row r="795" spans="4:12" x14ac:dyDescent="0.25">
      <c r="D795" s="47"/>
      <c r="H795" s="38"/>
      <c r="I795" s="38"/>
      <c r="J795" s="38"/>
      <c r="K795" s="38"/>
      <c r="L795" s="38"/>
    </row>
    <row r="796" spans="4:12" x14ac:dyDescent="0.25">
      <c r="D796" s="47"/>
      <c r="H796" s="38"/>
      <c r="I796" s="38"/>
      <c r="J796" s="38"/>
      <c r="K796" s="38"/>
      <c r="L796" s="38"/>
    </row>
    <row r="797" spans="4:12" x14ac:dyDescent="0.25">
      <c r="D797" s="47"/>
      <c r="H797" s="38"/>
      <c r="I797" s="38"/>
      <c r="J797" s="38"/>
      <c r="K797" s="38"/>
      <c r="L797" s="38"/>
    </row>
    <row r="798" spans="4:12" x14ac:dyDescent="0.25">
      <c r="D798" s="47"/>
      <c r="H798" s="38"/>
      <c r="I798" s="38"/>
      <c r="J798" s="38"/>
      <c r="K798" s="38"/>
      <c r="L798" s="38"/>
    </row>
    <row r="799" spans="4:12" x14ac:dyDescent="0.25">
      <c r="D799" s="47"/>
      <c r="H799" s="38"/>
      <c r="I799" s="38"/>
      <c r="J799" s="38"/>
      <c r="K799" s="38"/>
      <c r="L799" s="38"/>
    </row>
    <row r="800" spans="4:12" x14ac:dyDescent="0.25">
      <c r="D800" s="47"/>
      <c r="H800" s="38"/>
      <c r="I800" s="38"/>
      <c r="J800" s="38"/>
      <c r="K800" s="38"/>
      <c r="L800" s="38"/>
    </row>
    <row r="801" spans="4:12" x14ac:dyDescent="0.25">
      <c r="D801" s="47"/>
      <c r="H801" s="38"/>
      <c r="I801" s="38"/>
      <c r="J801" s="38"/>
      <c r="K801" s="38"/>
      <c r="L801" s="38"/>
    </row>
    <row r="802" spans="4:12" x14ac:dyDescent="0.25">
      <c r="D802" s="47"/>
      <c r="H802" s="38"/>
      <c r="I802" s="38"/>
      <c r="J802" s="38"/>
      <c r="K802" s="38"/>
      <c r="L802" s="38"/>
    </row>
    <row r="803" spans="4:12" x14ac:dyDescent="0.25">
      <c r="D803" s="47"/>
      <c r="H803" s="38"/>
      <c r="I803" s="38"/>
      <c r="J803" s="38"/>
      <c r="K803" s="38"/>
      <c r="L803" s="38"/>
    </row>
    <row r="804" spans="4:12" x14ac:dyDescent="0.25">
      <c r="D804" s="47"/>
      <c r="H804" s="38"/>
      <c r="I804" s="38"/>
      <c r="J804" s="38"/>
      <c r="K804" s="38"/>
      <c r="L804" s="38"/>
    </row>
    <row r="805" spans="4:12" x14ac:dyDescent="0.25">
      <c r="D805" s="47"/>
      <c r="H805" s="38"/>
      <c r="I805" s="38"/>
      <c r="J805" s="38"/>
      <c r="K805" s="38"/>
      <c r="L805" s="38"/>
    </row>
    <row r="806" spans="4:12" x14ac:dyDescent="0.25">
      <c r="D806" s="47"/>
      <c r="H806" s="38"/>
      <c r="I806" s="38"/>
      <c r="J806" s="38"/>
      <c r="K806" s="38"/>
      <c r="L806" s="38"/>
    </row>
    <row r="807" spans="4:12" x14ac:dyDescent="0.25">
      <c r="D807" s="47"/>
      <c r="H807" s="38"/>
      <c r="I807" s="38"/>
      <c r="J807" s="38"/>
      <c r="K807" s="38"/>
      <c r="L807" s="38"/>
    </row>
    <row r="808" spans="4:12" x14ac:dyDescent="0.25">
      <c r="D808" s="47"/>
      <c r="H808" s="38"/>
      <c r="I808" s="38"/>
      <c r="J808" s="38"/>
      <c r="K808" s="38"/>
      <c r="L808" s="38"/>
    </row>
    <row r="809" spans="4:12" x14ac:dyDescent="0.25">
      <c r="D809" s="47"/>
      <c r="H809" s="38"/>
      <c r="I809" s="38"/>
      <c r="J809" s="38"/>
      <c r="K809" s="38"/>
      <c r="L809" s="38"/>
    </row>
    <row r="810" spans="4:12" x14ac:dyDescent="0.25">
      <c r="D810" s="47"/>
      <c r="H810" s="38"/>
      <c r="I810" s="38"/>
      <c r="J810" s="38"/>
      <c r="K810" s="38"/>
      <c r="L810" s="38"/>
    </row>
    <row r="811" spans="4:12" x14ac:dyDescent="0.25">
      <c r="D811" s="47"/>
      <c r="H811" s="38"/>
      <c r="I811" s="38"/>
      <c r="J811" s="38"/>
      <c r="K811" s="38"/>
      <c r="L811" s="38"/>
    </row>
    <row r="812" spans="4:12" x14ac:dyDescent="0.25">
      <c r="D812" s="47"/>
      <c r="H812" s="38"/>
      <c r="I812" s="38"/>
      <c r="J812" s="38"/>
      <c r="K812" s="38"/>
      <c r="L812" s="38"/>
    </row>
    <row r="813" spans="4:12" x14ac:dyDescent="0.25">
      <c r="D813" s="47"/>
      <c r="H813" s="38"/>
      <c r="I813" s="38"/>
      <c r="J813" s="38"/>
      <c r="K813" s="38"/>
      <c r="L813" s="38"/>
    </row>
    <row r="814" spans="4:12" x14ac:dyDescent="0.25">
      <c r="D814" s="47"/>
      <c r="H814" s="38"/>
      <c r="I814" s="38"/>
      <c r="J814" s="38"/>
      <c r="K814" s="38"/>
      <c r="L814" s="38"/>
    </row>
    <row r="815" spans="4:12" x14ac:dyDescent="0.25">
      <c r="D815" s="47"/>
      <c r="H815" s="38"/>
      <c r="I815" s="38"/>
      <c r="J815" s="38"/>
      <c r="K815" s="38"/>
      <c r="L815" s="38"/>
    </row>
    <row r="816" spans="4:12" x14ac:dyDescent="0.25">
      <c r="D816" s="47"/>
      <c r="H816" s="38"/>
      <c r="I816" s="38"/>
      <c r="J816" s="38"/>
      <c r="K816" s="38"/>
      <c r="L816" s="38"/>
    </row>
    <row r="817" spans="4:12" x14ac:dyDescent="0.25">
      <c r="D817" s="47"/>
      <c r="H817" s="38"/>
      <c r="I817" s="38"/>
      <c r="J817" s="38"/>
      <c r="K817" s="38"/>
      <c r="L817" s="38"/>
    </row>
    <row r="818" spans="4:12" x14ac:dyDescent="0.25">
      <c r="D818" s="47"/>
      <c r="H818" s="38"/>
      <c r="I818" s="38"/>
      <c r="J818" s="38"/>
      <c r="K818" s="38"/>
      <c r="L818" s="38"/>
    </row>
    <row r="819" spans="4:12" x14ac:dyDescent="0.25">
      <c r="D819" s="47"/>
      <c r="H819" s="38"/>
      <c r="I819" s="38"/>
      <c r="J819" s="38"/>
      <c r="K819" s="38"/>
      <c r="L819" s="38"/>
    </row>
    <row r="820" spans="4:12" x14ac:dyDescent="0.25">
      <c r="D820" s="47"/>
      <c r="H820" s="38"/>
      <c r="I820" s="38"/>
      <c r="J820" s="38"/>
      <c r="K820" s="38"/>
      <c r="L820" s="38"/>
    </row>
    <row r="821" spans="4:12" x14ac:dyDescent="0.25">
      <c r="D821" s="47"/>
      <c r="H821" s="38"/>
      <c r="I821" s="38"/>
      <c r="J821" s="38"/>
      <c r="K821" s="38"/>
      <c r="L821" s="38"/>
    </row>
    <row r="822" spans="4:12" x14ac:dyDescent="0.25">
      <c r="D822" s="47"/>
      <c r="H822" s="38"/>
      <c r="I822" s="38"/>
      <c r="J822" s="38"/>
      <c r="K822" s="38"/>
      <c r="L822" s="38"/>
    </row>
    <row r="823" spans="4:12" x14ac:dyDescent="0.25">
      <c r="D823" s="47"/>
      <c r="H823" s="38"/>
      <c r="I823" s="38"/>
      <c r="J823" s="38"/>
      <c r="K823" s="38"/>
      <c r="L823" s="38"/>
    </row>
    <row r="824" spans="4:12" x14ac:dyDescent="0.25">
      <c r="D824" s="47"/>
      <c r="H824" s="38"/>
      <c r="I824" s="38"/>
      <c r="J824" s="38"/>
      <c r="K824" s="38"/>
      <c r="L824" s="38"/>
    </row>
    <row r="825" spans="4:12" x14ac:dyDescent="0.25">
      <c r="D825" s="47"/>
      <c r="H825" s="38"/>
      <c r="I825" s="38"/>
      <c r="J825" s="38"/>
      <c r="K825" s="38"/>
      <c r="L825" s="38"/>
    </row>
    <row r="826" spans="4:12" x14ac:dyDescent="0.25">
      <c r="D826" s="47"/>
      <c r="H826" s="38"/>
      <c r="I826" s="38"/>
      <c r="J826" s="38"/>
      <c r="K826" s="38"/>
      <c r="L826" s="38"/>
    </row>
    <row r="827" spans="4:12" x14ac:dyDescent="0.25">
      <c r="D827" s="47"/>
      <c r="H827" s="38"/>
      <c r="I827" s="38"/>
      <c r="J827" s="38"/>
      <c r="K827" s="38"/>
      <c r="L827" s="38"/>
    </row>
    <row r="828" spans="4:12" x14ac:dyDescent="0.25">
      <c r="D828" s="47"/>
      <c r="H828" s="38"/>
      <c r="I828" s="38"/>
      <c r="J828" s="38"/>
      <c r="K828" s="38"/>
      <c r="L828" s="38"/>
    </row>
    <row r="829" spans="4:12" x14ac:dyDescent="0.25">
      <c r="D829" s="47"/>
      <c r="H829" s="38"/>
      <c r="I829" s="38"/>
      <c r="J829" s="38"/>
      <c r="K829" s="38"/>
      <c r="L829" s="38"/>
    </row>
    <row r="830" spans="4:12" x14ac:dyDescent="0.25">
      <c r="D830" s="47"/>
      <c r="H830" s="38"/>
      <c r="I830" s="38"/>
      <c r="J830" s="38"/>
      <c r="K830" s="38"/>
      <c r="L830" s="38"/>
    </row>
    <row r="831" spans="4:12" x14ac:dyDescent="0.25">
      <c r="D831" s="47"/>
      <c r="H831" s="38"/>
      <c r="I831" s="38"/>
      <c r="J831" s="38"/>
      <c r="K831" s="38"/>
      <c r="L831" s="38"/>
    </row>
    <row r="832" spans="4:12" x14ac:dyDescent="0.25">
      <c r="D832" s="47"/>
      <c r="H832" s="38"/>
      <c r="I832" s="38"/>
      <c r="J832" s="38"/>
      <c r="K832" s="38"/>
      <c r="L832" s="38"/>
    </row>
    <row r="833" spans="4:12" x14ac:dyDescent="0.25">
      <c r="D833" s="47"/>
      <c r="H833" s="38"/>
      <c r="I833" s="38"/>
      <c r="J833" s="38"/>
      <c r="K833" s="38"/>
      <c r="L833" s="38"/>
    </row>
    <row r="834" spans="4:12" x14ac:dyDescent="0.25">
      <c r="D834" s="47"/>
      <c r="H834" s="38"/>
      <c r="I834" s="38"/>
      <c r="J834" s="38"/>
      <c r="K834" s="38"/>
      <c r="L834" s="38"/>
    </row>
    <row r="835" spans="4:12" x14ac:dyDescent="0.25">
      <c r="D835" s="47"/>
      <c r="H835" s="38"/>
      <c r="I835" s="38"/>
      <c r="J835" s="38"/>
      <c r="K835" s="38"/>
      <c r="L835" s="38"/>
    </row>
    <row r="836" spans="4:12" x14ac:dyDescent="0.25">
      <c r="D836" s="47"/>
      <c r="H836" s="38"/>
      <c r="I836" s="38"/>
      <c r="J836" s="38"/>
      <c r="K836" s="38"/>
      <c r="L836" s="38"/>
    </row>
    <row r="837" spans="4:12" x14ac:dyDescent="0.25">
      <c r="D837" s="47"/>
      <c r="H837" s="38"/>
      <c r="I837" s="38"/>
      <c r="J837" s="38"/>
      <c r="K837" s="38"/>
      <c r="L837" s="38"/>
    </row>
    <row r="838" spans="4:12" x14ac:dyDescent="0.25">
      <c r="D838" s="47"/>
      <c r="H838" s="38"/>
      <c r="I838" s="38"/>
      <c r="J838" s="38"/>
      <c r="K838" s="38"/>
      <c r="L838" s="38"/>
    </row>
    <row r="839" spans="4:12" x14ac:dyDescent="0.25">
      <c r="D839" s="47"/>
      <c r="H839" s="38"/>
      <c r="I839" s="38"/>
      <c r="J839" s="38"/>
      <c r="K839" s="38"/>
      <c r="L839" s="38"/>
    </row>
    <row r="840" spans="4:12" x14ac:dyDescent="0.25">
      <c r="D840" s="47"/>
      <c r="H840" s="38"/>
      <c r="I840" s="38"/>
      <c r="J840" s="38"/>
      <c r="K840" s="38"/>
      <c r="L840" s="38"/>
    </row>
    <row r="841" spans="4:12" x14ac:dyDescent="0.25">
      <c r="D841" s="47"/>
      <c r="H841" s="38"/>
      <c r="I841" s="38"/>
      <c r="J841" s="38"/>
      <c r="K841" s="38"/>
      <c r="L841" s="38"/>
    </row>
    <row r="842" spans="4:12" x14ac:dyDescent="0.25">
      <c r="D842" s="47"/>
      <c r="H842" s="38"/>
      <c r="I842" s="38"/>
      <c r="J842" s="38"/>
      <c r="K842" s="38"/>
      <c r="L842" s="38"/>
    </row>
    <row r="843" spans="4:12" x14ac:dyDescent="0.25">
      <c r="D843" s="47"/>
      <c r="H843" s="38"/>
      <c r="I843" s="38"/>
      <c r="J843" s="38"/>
      <c r="K843" s="38"/>
      <c r="L843" s="38"/>
    </row>
    <row r="844" spans="4:12" x14ac:dyDescent="0.25">
      <c r="D844" s="47"/>
      <c r="H844" s="38"/>
      <c r="I844" s="38"/>
      <c r="J844" s="38"/>
      <c r="K844" s="38"/>
      <c r="L844" s="38"/>
    </row>
    <row r="845" spans="4:12" x14ac:dyDescent="0.25">
      <c r="D845" s="47"/>
      <c r="H845" s="38"/>
      <c r="I845" s="38"/>
      <c r="J845" s="38"/>
      <c r="K845" s="38"/>
      <c r="L845" s="38"/>
    </row>
    <row r="846" spans="4:12" x14ac:dyDescent="0.25">
      <c r="D846" s="47"/>
      <c r="H846" s="38"/>
      <c r="I846" s="38"/>
      <c r="J846" s="38"/>
      <c r="K846" s="38"/>
      <c r="L846" s="38"/>
    </row>
    <row r="847" spans="4:12" x14ac:dyDescent="0.25">
      <c r="D847" s="47"/>
      <c r="H847" s="38"/>
      <c r="I847" s="38"/>
      <c r="J847" s="38"/>
      <c r="K847" s="38"/>
      <c r="L847" s="38"/>
    </row>
    <row r="848" spans="4:12" x14ac:dyDescent="0.25">
      <c r="D848" s="47"/>
      <c r="H848" s="38"/>
      <c r="I848" s="38"/>
      <c r="J848" s="38"/>
      <c r="K848" s="38"/>
      <c r="L848" s="38"/>
    </row>
    <row r="849" spans="4:12" x14ac:dyDescent="0.25">
      <c r="D849" s="47"/>
      <c r="H849" s="38"/>
      <c r="I849" s="38"/>
      <c r="J849" s="38"/>
      <c r="K849" s="38"/>
      <c r="L849" s="38"/>
    </row>
    <row r="850" spans="4:12" x14ac:dyDescent="0.25">
      <c r="D850" s="47"/>
      <c r="H850" s="38"/>
      <c r="I850" s="38"/>
      <c r="J850" s="38"/>
      <c r="K850" s="38"/>
      <c r="L850" s="38"/>
    </row>
    <row r="851" spans="4:12" x14ac:dyDescent="0.25">
      <c r="D851" s="47"/>
      <c r="H851" s="38"/>
      <c r="I851" s="38"/>
      <c r="J851" s="38"/>
      <c r="K851" s="38"/>
      <c r="L851" s="38"/>
    </row>
    <row r="852" spans="4:12" x14ac:dyDescent="0.25">
      <c r="D852" s="47"/>
      <c r="H852" s="38"/>
      <c r="I852" s="38"/>
      <c r="J852" s="38"/>
      <c r="K852" s="38"/>
      <c r="L852" s="38"/>
    </row>
    <row r="853" spans="4:12" x14ac:dyDescent="0.25">
      <c r="D853" s="47"/>
      <c r="H853" s="38"/>
      <c r="I853" s="38"/>
      <c r="J853" s="38"/>
      <c r="K853" s="38"/>
      <c r="L853" s="38"/>
    </row>
    <row r="854" spans="4:12" x14ac:dyDescent="0.25">
      <c r="D854" s="47"/>
      <c r="H854" s="38"/>
      <c r="I854" s="38"/>
      <c r="J854" s="38"/>
      <c r="K854" s="38"/>
      <c r="L854" s="38"/>
    </row>
    <row r="855" spans="4:12" x14ac:dyDescent="0.25">
      <c r="D855" s="47"/>
      <c r="H855" s="38"/>
      <c r="I855" s="38"/>
      <c r="J855" s="38"/>
      <c r="K855" s="38"/>
      <c r="L855" s="38"/>
    </row>
    <row r="856" spans="4:12" x14ac:dyDescent="0.25">
      <c r="D856" s="47"/>
      <c r="H856" s="38"/>
      <c r="I856" s="38"/>
      <c r="J856" s="38"/>
      <c r="K856" s="38"/>
      <c r="L856" s="38"/>
    </row>
    <row r="857" spans="4:12" x14ac:dyDescent="0.25">
      <c r="D857" s="47"/>
      <c r="H857" s="38"/>
      <c r="I857" s="38"/>
      <c r="J857" s="38"/>
      <c r="K857" s="38"/>
      <c r="L857" s="38"/>
    </row>
    <row r="858" spans="4:12" x14ac:dyDescent="0.25">
      <c r="D858" s="47"/>
      <c r="H858" s="38"/>
      <c r="I858" s="38"/>
      <c r="J858" s="38"/>
      <c r="K858" s="38"/>
      <c r="L858" s="38"/>
    </row>
    <row r="859" spans="4:12" x14ac:dyDescent="0.25">
      <c r="D859" s="47"/>
      <c r="H859" s="38"/>
      <c r="I859" s="38"/>
      <c r="J859" s="38"/>
      <c r="K859" s="38"/>
      <c r="L859" s="38"/>
    </row>
    <row r="860" spans="4:12" x14ac:dyDescent="0.25">
      <c r="D860" s="47"/>
      <c r="H860" s="38"/>
      <c r="I860" s="38"/>
      <c r="J860" s="38"/>
      <c r="K860" s="38"/>
      <c r="L860" s="38"/>
    </row>
    <row r="861" spans="4:12" x14ac:dyDescent="0.25">
      <c r="D861" s="47"/>
      <c r="H861" s="38"/>
      <c r="I861" s="38"/>
      <c r="J861" s="38"/>
      <c r="K861" s="38"/>
      <c r="L861" s="38"/>
    </row>
    <row r="862" spans="4:12" x14ac:dyDescent="0.25">
      <c r="D862" s="47"/>
      <c r="H862" s="38"/>
      <c r="I862" s="38"/>
      <c r="J862" s="38"/>
      <c r="K862" s="38"/>
      <c r="L862" s="38"/>
    </row>
    <row r="863" spans="4:12" x14ac:dyDescent="0.25">
      <c r="D863" s="47"/>
      <c r="H863" s="38"/>
      <c r="I863" s="38"/>
      <c r="J863" s="38"/>
      <c r="K863" s="38"/>
      <c r="L863" s="38"/>
    </row>
    <row r="864" spans="4:12" x14ac:dyDescent="0.25">
      <c r="D864" s="47"/>
      <c r="H864" s="38"/>
      <c r="I864" s="38"/>
      <c r="J864" s="38"/>
      <c r="K864" s="38"/>
      <c r="L864" s="38"/>
    </row>
    <row r="865" spans="4:12" x14ac:dyDescent="0.25">
      <c r="D865" s="47"/>
      <c r="H865" s="38"/>
      <c r="I865" s="38"/>
      <c r="J865" s="38"/>
      <c r="K865" s="38"/>
      <c r="L865" s="38"/>
    </row>
    <row r="866" spans="4:12" x14ac:dyDescent="0.25">
      <c r="D866" s="47"/>
      <c r="H866" s="38"/>
      <c r="I866" s="38"/>
      <c r="J866" s="38"/>
      <c r="K866" s="38"/>
      <c r="L866" s="38"/>
    </row>
    <row r="867" spans="4:12" x14ac:dyDescent="0.25">
      <c r="D867" s="47"/>
      <c r="H867" s="38"/>
      <c r="I867" s="38"/>
      <c r="J867" s="38"/>
      <c r="K867" s="38"/>
      <c r="L867" s="38"/>
    </row>
    <row r="868" spans="4:12" x14ac:dyDescent="0.25">
      <c r="D868" s="47"/>
      <c r="H868" s="38"/>
      <c r="I868" s="38"/>
      <c r="J868" s="38"/>
      <c r="K868" s="38"/>
      <c r="L868" s="38"/>
    </row>
    <row r="869" spans="4:12" x14ac:dyDescent="0.25">
      <c r="D869" s="47"/>
      <c r="H869" s="38"/>
      <c r="I869" s="38"/>
      <c r="J869" s="38"/>
      <c r="K869" s="38"/>
      <c r="L869" s="38"/>
    </row>
    <row r="870" spans="4:12" x14ac:dyDescent="0.25">
      <c r="D870" s="47"/>
      <c r="H870" s="38"/>
      <c r="I870" s="38"/>
      <c r="J870" s="38"/>
      <c r="K870" s="38"/>
      <c r="L870" s="38"/>
    </row>
    <row r="871" spans="4:12" x14ac:dyDescent="0.25">
      <c r="D871" s="47"/>
      <c r="H871" s="38"/>
      <c r="I871" s="38"/>
      <c r="J871" s="38"/>
      <c r="K871" s="38"/>
      <c r="L871" s="38"/>
    </row>
    <row r="872" spans="4:12" x14ac:dyDescent="0.25">
      <c r="D872" s="47"/>
      <c r="H872" s="38"/>
      <c r="I872" s="38"/>
      <c r="J872" s="38"/>
      <c r="K872" s="38"/>
      <c r="L872" s="38"/>
    </row>
    <row r="873" spans="4:12" x14ac:dyDescent="0.25">
      <c r="D873" s="47"/>
      <c r="H873" s="38"/>
      <c r="I873" s="38"/>
      <c r="J873" s="38"/>
      <c r="K873" s="38"/>
      <c r="L873" s="38"/>
    </row>
    <row r="874" spans="4:12" x14ac:dyDescent="0.25">
      <c r="D874" s="47"/>
      <c r="H874" s="38"/>
      <c r="I874" s="38"/>
      <c r="J874" s="38"/>
      <c r="K874" s="38"/>
      <c r="L874" s="38"/>
    </row>
    <row r="875" spans="4:12" x14ac:dyDescent="0.25">
      <c r="D875" s="47"/>
      <c r="H875" s="38"/>
      <c r="I875" s="38"/>
      <c r="J875" s="38"/>
      <c r="K875" s="38"/>
      <c r="L875" s="38"/>
    </row>
    <row r="876" spans="4:12" x14ac:dyDescent="0.25">
      <c r="D876" s="47"/>
      <c r="H876" s="38"/>
      <c r="I876" s="38"/>
      <c r="J876" s="38"/>
      <c r="K876" s="38"/>
      <c r="L876" s="38"/>
    </row>
    <row r="877" spans="4:12" x14ac:dyDescent="0.25">
      <c r="D877" s="47"/>
      <c r="H877" s="38"/>
      <c r="I877" s="38"/>
      <c r="J877" s="38"/>
      <c r="K877" s="38"/>
      <c r="L877" s="38"/>
    </row>
    <row r="878" spans="4:12" x14ac:dyDescent="0.25">
      <c r="D878" s="47"/>
      <c r="H878" s="38"/>
      <c r="I878" s="38"/>
      <c r="J878" s="38"/>
      <c r="K878" s="38"/>
      <c r="L878" s="38"/>
    </row>
    <row r="879" spans="4:12" x14ac:dyDescent="0.25">
      <c r="D879" s="47"/>
      <c r="H879" s="38"/>
      <c r="I879" s="38"/>
      <c r="J879" s="38"/>
      <c r="K879" s="38"/>
      <c r="L879" s="38"/>
    </row>
    <row r="880" spans="4:12" x14ac:dyDescent="0.25">
      <c r="D880" s="47"/>
      <c r="H880" s="38"/>
      <c r="I880" s="38"/>
      <c r="J880" s="38"/>
      <c r="K880" s="38"/>
      <c r="L880" s="38"/>
    </row>
    <row r="881" spans="4:12" x14ac:dyDescent="0.25">
      <c r="D881" s="47"/>
      <c r="H881" s="38"/>
      <c r="I881" s="38"/>
      <c r="J881" s="38"/>
      <c r="K881" s="38"/>
      <c r="L881" s="38"/>
    </row>
    <row r="882" spans="4:12" x14ac:dyDescent="0.25">
      <c r="D882" s="47"/>
      <c r="H882" s="38"/>
      <c r="I882" s="38"/>
      <c r="J882" s="38"/>
      <c r="K882" s="38"/>
      <c r="L882" s="38"/>
    </row>
    <row r="883" spans="4:12" x14ac:dyDescent="0.25">
      <c r="D883" s="47"/>
      <c r="H883" s="38"/>
      <c r="I883" s="38"/>
      <c r="J883" s="38"/>
      <c r="K883" s="38"/>
      <c r="L883" s="38"/>
    </row>
    <row r="884" spans="4:12" x14ac:dyDescent="0.25">
      <c r="D884" s="47"/>
      <c r="H884" s="38"/>
      <c r="I884" s="38"/>
      <c r="J884" s="38"/>
      <c r="K884" s="38"/>
      <c r="L884" s="38"/>
    </row>
    <row r="885" spans="4:12" x14ac:dyDescent="0.25">
      <c r="D885" s="47"/>
      <c r="H885" s="38"/>
      <c r="I885" s="38"/>
      <c r="J885" s="38"/>
      <c r="K885" s="38"/>
      <c r="L885" s="38"/>
    </row>
    <row r="886" spans="4:12" x14ac:dyDescent="0.25">
      <c r="D886" s="47"/>
      <c r="H886" s="38"/>
      <c r="I886" s="38"/>
      <c r="J886" s="38"/>
      <c r="K886" s="38"/>
      <c r="L886" s="38"/>
    </row>
    <row r="887" spans="4:12" x14ac:dyDescent="0.25">
      <c r="D887" s="47"/>
      <c r="H887" s="38"/>
      <c r="I887" s="38"/>
      <c r="J887" s="38"/>
      <c r="K887" s="38"/>
      <c r="L887" s="38"/>
    </row>
    <row r="888" spans="4:12" x14ac:dyDescent="0.25">
      <c r="D888" s="47"/>
      <c r="H888" s="38"/>
      <c r="I888" s="38"/>
      <c r="J888" s="38"/>
      <c r="K888" s="38"/>
      <c r="L888" s="38"/>
    </row>
    <row r="889" spans="4:12" x14ac:dyDescent="0.25">
      <c r="D889" s="47"/>
      <c r="H889" s="38"/>
      <c r="I889" s="38"/>
      <c r="J889" s="38"/>
      <c r="K889" s="38"/>
      <c r="L889" s="38"/>
    </row>
    <row r="890" spans="4:12" x14ac:dyDescent="0.25">
      <c r="D890" s="47"/>
      <c r="H890" s="38"/>
      <c r="I890" s="38"/>
      <c r="J890" s="38"/>
      <c r="K890" s="38"/>
      <c r="L890" s="38"/>
    </row>
    <row r="891" spans="4:12" x14ac:dyDescent="0.25">
      <c r="D891" s="47"/>
      <c r="H891" s="38"/>
      <c r="I891" s="38"/>
      <c r="J891" s="38"/>
      <c r="K891" s="38"/>
      <c r="L891" s="38"/>
    </row>
    <row r="892" spans="4:12" x14ac:dyDescent="0.25">
      <c r="D892" s="47"/>
      <c r="H892" s="38"/>
      <c r="I892" s="38"/>
      <c r="J892" s="38"/>
      <c r="K892" s="38"/>
      <c r="L892" s="38"/>
    </row>
    <row r="893" spans="4:12" x14ac:dyDescent="0.25">
      <c r="D893" s="47"/>
      <c r="H893" s="38"/>
      <c r="I893" s="38"/>
      <c r="J893" s="38"/>
      <c r="K893" s="38"/>
      <c r="L893" s="38"/>
    </row>
    <row r="894" spans="4:12" x14ac:dyDescent="0.25">
      <c r="D894" s="47"/>
      <c r="H894" s="38"/>
      <c r="I894" s="38"/>
      <c r="J894" s="38"/>
      <c r="K894" s="38"/>
      <c r="L894" s="38"/>
    </row>
    <row r="895" spans="4:12" x14ac:dyDescent="0.25">
      <c r="D895" s="47"/>
      <c r="H895" s="38"/>
      <c r="I895" s="38"/>
      <c r="J895" s="38"/>
      <c r="K895" s="38"/>
      <c r="L895" s="38"/>
    </row>
    <row r="896" spans="4:12" x14ac:dyDescent="0.25">
      <c r="D896" s="47"/>
      <c r="H896" s="38"/>
      <c r="I896" s="38"/>
      <c r="J896" s="38"/>
      <c r="K896" s="38"/>
      <c r="L896" s="38"/>
    </row>
    <row r="897" spans="4:12" x14ac:dyDescent="0.25">
      <c r="D897" s="47"/>
      <c r="H897" s="38"/>
      <c r="I897" s="38"/>
      <c r="J897" s="38"/>
      <c r="K897" s="38"/>
      <c r="L897" s="38"/>
    </row>
    <row r="898" spans="4:12" x14ac:dyDescent="0.25">
      <c r="D898" s="47"/>
      <c r="H898" s="38"/>
      <c r="I898" s="38"/>
      <c r="J898" s="38"/>
      <c r="K898" s="38"/>
      <c r="L898" s="38"/>
    </row>
    <row r="899" spans="4:12" x14ac:dyDescent="0.25">
      <c r="D899" s="47"/>
      <c r="H899" s="38"/>
      <c r="I899" s="38"/>
      <c r="J899" s="38"/>
      <c r="K899" s="38"/>
      <c r="L899" s="38"/>
    </row>
    <row r="900" spans="4:12" x14ac:dyDescent="0.25">
      <c r="D900" s="47"/>
      <c r="H900" s="38"/>
      <c r="I900" s="38"/>
      <c r="J900" s="38"/>
      <c r="K900" s="38"/>
      <c r="L900" s="38"/>
    </row>
    <row r="901" spans="4:12" x14ac:dyDescent="0.25">
      <c r="D901" s="47"/>
      <c r="H901" s="38"/>
      <c r="I901" s="38"/>
      <c r="J901" s="38"/>
      <c r="K901" s="38"/>
      <c r="L901" s="38"/>
    </row>
    <row r="902" spans="4:12" x14ac:dyDescent="0.25">
      <c r="D902" s="47"/>
      <c r="H902" s="38"/>
      <c r="I902" s="38"/>
      <c r="J902" s="38"/>
      <c r="K902" s="38"/>
      <c r="L902" s="38"/>
    </row>
    <row r="903" spans="4:12" x14ac:dyDescent="0.25">
      <c r="D903" s="47"/>
      <c r="H903" s="38"/>
      <c r="I903" s="38"/>
      <c r="J903" s="38"/>
      <c r="K903" s="38"/>
      <c r="L903" s="38"/>
    </row>
    <row r="904" spans="4:12" x14ac:dyDescent="0.25">
      <c r="D904" s="47"/>
      <c r="H904" s="38"/>
      <c r="I904" s="38"/>
      <c r="J904" s="38"/>
      <c r="K904" s="38"/>
      <c r="L904" s="38"/>
    </row>
    <row r="905" spans="4:12" x14ac:dyDescent="0.25">
      <c r="D905" s="47"/>
      <c r="H905" s="38"/>
      <c r="I905" s="38"/>
      <c r="J905" s="38"/>
      <c r="K905" s="38"/>
      <c r="L905" s="38"/>
    </row>
    <row r="906" spans="4:12" x14ac:dyDescent="0.25">
      <c r="D906" s="47"/>
      <c r="H906" s="38"/>
      <c r="I906" s="38"/>
      <c r="J906" s="38"/>
      <c r="K906" s="38"/>
      <c r="L906" s="38"/>
    </row>
    <row r="907" spans="4:12" x14ac:dyDescent="0.25">
      <c r="D907" s="47"/>
      <c r="H907" s="38"/>
      <c r="I907" s="38"/>
      <c r="J907" s="38"/>
      <c r="K907" s="38"/>
      <c r="L907" s="38"/>
    </row>
    <row r="908" spans="4:12" x14ac:dyDescent="0.25">
      <c r="D908" s="47"/>
      <c r="H908" s="38"/>
      <c r="I908" s="38"/>
      <c r="J908" s="38"/>
      <c r="K908" s="38"/>
      <c r="L908" s="38"/>
    </row>
    <row r="909" spans="4:12" x14ac:dyDescent="0.25">
      <c r="D909" s="47"/>
      <c r="H909" s="38"/>
      <c r="I909" s="38"/>
      <c r="J909" s="38"/>
      <c r="K909" s="38"/>
      <c r="L909" s="38"/>
    </row>
    <row r="910" spans="4:12" x14ac:dyDescent="0.25">
      <c r="D910" s="47"/>
      <c r="H910" s="38"/>
      <c r="I910" s="38"/>
      <c r="J910" s="38"/>
      <c r="K910" s="38"/>
      <c r="L910" s="38"/>
    </row>
    <row r="911" spans="4:12" x14ac:dyDescent="0.25">
      <c r="D911" s="47"/>
      <c r="H911" s="38"/>
      <c r="I911" s="38"/>
      <c r="J911" s="38"/>
      <c r="K911" s="38"/>
      <c r="L911" s="38"/>
    </row>
    <row r="912" spans="4:12" x14ac:dyDescent="0.25">
      <c r="D912" s="47"/>
      <c r="H912" s="38"/>
      <c r="I912" s="38"/>
      <c r="J912" s="38"/>
      <c r="K912" s="38"/>
      <c r="L912" s="38"/>
    </row>
    <row r="913" spans="4:12" x14ac:dyDescent="0.25">
      <c r="D913" s="47"/>
      <c r="H913" s="38"/>
      <c r="I913" s="38"/>
      <c r="J913" s="38"/>
      <c r="K913" s="38"/>
      <c r="L913" s="38"/>
    </row>
    <row r="914" spans="4:12" x14ac:dyDescent="0.25">
      <c r="D914" s="47"/>
      <c r="H914" s="38"/>
      <c r="I914" s="38"/>
      <c r="J914" s="38"/>
      <c r="K914" s="38"/>
      <c r="L914" s="38"/>
    </row>
    <row r="915" spans="4:12" x14ac:dyDescent="0.25">
      <c r="D915" s="47"/>
      <c r="H915" s="38"/>
      <c r="I915" s="38"/>
      <c r="J915" s="38"/>
      <c r="K915" s="38"/>
      <c r="L915" s="38"/>
    </row>
    <row r="916" spans="4:12" x14ac:dyDescent="0.25">
      <c r="D916" s="47"/>
      <c r="H916" s="38"/>
      <c r="I916" s="38"/>
      <c r="J916" s="38"/>
      <c r="K916" s="38"/>
      <c r="L916" s="38"/>
    </row>
    <row r="917" spans="4:12" x14ac:dyDescent="0.25">
      <c r="D917" s="47"/>
      <c r="H917" s="38"/>
      <c r="I917" s="38"/>
      <c r="J917" s="38"/>
      <c r="K917" s="38"/>
      <c r="L917" s="38"/>
    </row>
    <row r="918" spans="4:12" x14ac:dyDescent="0.25">
      <c r="D918" s="47"/>
      <c r="H918" s="38"/>
      <c r="I918" s="38"/>
      <c r="J918" s="38"/>
      <c r="K918" s="38"/>
      <c r="L918" s="38"/>
    </row>
    <row r="919" spans="4:12" x14ac:dyDescent="0.25">
      <c r="D919" s="47"/>
      <c r="H919" s="38"/>
      <c r="I919" s="38"/>
      <c r="J919" s="38"/>
      <c r="K919" s="38"/>
      <c r="L919" s="38"/>
    </row>
    <row r="920" spans="4:12" x14ac:dyDescent="0.25">
      <c r="D920" s="47"/>
      <c r="H920" s="38"/>
      <c r="I920" s="38"/>
      <c r="J920" s="38"/>
      <c r="K920" s="38"/>
      <c r="L920" s="38"/>
    </row>
    <row r="921" spans="4:12" x14ac:dyDescent="0.25">
      <c r="D921" s="47"/>
      <c r="H921" s="38"/>
      <c r="I921" s="38"/>
      <c r="J921" s="38"/>
      <c r="K921" s="38"/>
      <c r="L921" s="38"/>
    </row>
    <row r="922" spans="4:12" x14ac:dyDescent="0.25">
      <c r="D922" s="47"/>
      <c r="H922" s="38"/>
      <c r="I922" s="38"/>
      <c r="J922" s="38"/>
      <c r="K922" s="38"/>
      <c r="L922" s="38"/>
    </row>
    <row r="923" spans="4:12" x14ac:dyDescent="0.25">
      <c r="D923" s="47"/>
      <c r="H923" s="38"/>
      <c r="I923" s="38"/>
      <c r="J923" s="38"/>
      <c r="K923" s="38"/>
      <c r="L923" s="38"/>
    </row>
    <row r="924" spans="4:12" x14ac:dyDescent="0.25">
      <c r="D924" s="47"/>
      <c r="H924" s="38"/>
      <c r="I924" s="38"/>
      <c r="J924" s="38"/>
      <c r="K924" s="38"/>
      <c r="L924" s="38"/>
    </row>
    <row r="925" spans="4:12" x14ac:dyDescent="0.25">
      <c r="D925" s="47"/>
      <c r="H925" s="38"/>
      <c r="I925" s="38"/>
      <c r="J925" s="38"/>
      <c r="K925" s="38"/>
      <c r="L925" s="38"/>
    </row>
    <row r="926" spans="4:12" x14ac:dyDescent="0.25">
      <c r="D926" s="47"/>
      <c r="H926" s="38"/>
      <c r="I926" s="38"/>
      <c r="J926" s="38"/>
      <c r="K926" s="38"/>
      <c r="L926" s="38"/>
    </row>
    <row r="927" spans="4:12" x14ac:dyDescent="0.25">
      <c r="D927" s="47"/>
      <c r="H927" s="38"/>
      <c r="I927" s="38"/>
      <c r="J927" s="38"/>
      <c r="K927" s="38"/>
      <c r="L927" s="38"/>
    </row>
    <row r="928" spans="4:12" x14ac:dyDescent="0.25">
      <c r="D928" s="47"/>
      <c r="H928" s="38"/>
      <c r="I928" s="38"/>
      <c r="J928" s="38"/>
      <c r="K928" s="38"/>
      <c r="L928" s="38"/>
    </row>
    <row r="929" spans="4:12" x14ac:dyDescent="0.25">
      <c r="D929" s="47"/>
      <c r="H929" s="38"/>
      <c r="I929" s="38"/>
      <c r="J929" s="38"/>
      <c r="K929" s="38"/>
      <c r="L929" s="38"/>
    </row>
    <row r="930" spans="4:12" x14ac:dyDescent="0.25">
      <c r="D930" s="47"/>
      <c r="H930" s="38"/>
      <c r="I930" s="38"/>
      <c r="J930" s="38"/>
      <c r="K930" s="38"/>
      <c r="L930" s="38"/>
    </row>
    <row r="931" spans="4:12" x14ac:dyDescent="0.25">
      <c r="D931" s="47"/>
      <c r="H931" s="38"/>
      <c r="I931" s="38"/>
      <c r="J931" s="38"/>
      <c r="K931" s="38"/>
      <c r="L931" s="38"/>
    </row>
    <row r="932" spans="4:12" x14ac:dyDescent="0.25">
      <c r="D932" s="47"/>
      <c r="H932" s="38"/>
      <c r="I932" s="38"/>
      <c r="J932" s="38"/>
      <c r="K932" s="38"/>
      <c r="L932" s="38"/>
    </row>
    <row r="933" spans="4:12" x14ac:dyDescent="0.25">
      <c r="D933" s="47"/>
      <c r="H933" s="38"/>
      <c r="I933" s="38"/>
      <c r="J933" s="38"/>
      <c r="K933" s="38"/>
      <c r="L933" s="38"/>
    </row>
    <row r="934" spans="4:12" x14ac:dyDescent="0.25">
      <c r="D934" s="47"/>
      <c r="H934" s="38"/>
      <c r="I934" s="38"/>
      <c r="J934" s="38"/>
      <c r="K934" s="38"/>
      <c r="L934" s="38"/>
    </row>
    <row r="935" spans="4:12" x14ac:dyDescent="0.25">
      <c r="D935" s="47"/>
      <c r="H935" s="38"/>
      <c r="I935" s="38"/>
      <c r="J935" s="38"/>
      <c r="K935" s="38"/>
      <c r="L935" s="38"/>
    </row>
    <row r="936" spans="4:12" x14ac:dyDescent="0.25">
      <c r="D936" s="47"/>
      <c r="H936" s="38"/>
      <c r="I936" s="38"/>
      <c r="J936" s="38"/>
      <c r="K936" s="38"/>
      <c r="L936" s="38"/>
    </row>
    <row r="937" spans="4:12" x14ac:dyDescent="0.25">
      <c r="D937" s="47"/>
      <c r="H937" s="38"/>
      <c r="I937" s="38"/>
      <c r="J937" s="38"/>
      <c r="K937" s="38"/>
      <c r="L937" s="38"/>
    </row>
    <row r="938" spans="4:12" x14ac:dyDescent="0.25">
      <c r="D938" s="47"/>
      <c r="H938" s="38"/>
      <c r="I938" s="38"/>
      <c r="J938" s="38"/>
      <c r="K938" s="38"/>
      <c r="L938" s="38"/>
    </row>
    <row r="939" spans="4:12" x14ac:dyDescent="0.25">
      <c r="D939" s="47"/>
      <c r="H939" s="38"/>
      <c r="I939" s="38"/>
      <c r="J939" s="38"/>
      <c r="K939" s="38"/>
      <c r="L939" s="38"/>
    </row>
    <row r="940" spans="4:12" x14ac:dyDescent="0.25">
      <c r="D940" s="47"/>
      <c r="H940" s="38"/>
      <c r="I940" s="38"/>
      <c r="J940" s="38"/>
      <c r="K940" s="38"/>
      <c r="L940" s="38"/>
    </row>
    <row r="941" spans="4:12" x14ac:dyDescent="0.25">
      <c r="D941" s="47"/>
      <c r="H941" s="38"/>
      <c r="I941" s="38"/>
      <c r="J941" s="38"/>
      <c r="K941" s="38"/>
      <c r="L941" s="38"/>
    </row>
    <row r="942" spans="4:12" x14ac:dyDescent="0.25">
      <c r="D942" s="47"/>
      <c r="H942" s="38"/>
      <c r="I942" s="38"/>
      <c r="J942" s="38"/>
      <c r="K942" s="38"/>
      <c r="L942" s="38"/>
    </row>
    <row r="943" spans="4:12" x14ac:dyDescent="0.25">
      <c r="D943" s="47"/>
      <c r="H943" s="38"/>
      <c r="I943" s="38"/>
      <c r="J943" s="38"/>
      <c r="K943" s="38"/>
      <c r="L943" s="38"/>
    </row>
    <row r="944" spans="4:12" x14ac:dyDescent="0.25">
      <c r="D944" s="47"/>
      <c r="H944" s="38"/>
      <c r="I944" s="38"/>
      <c r="J944" s="38"/>
      <c r="K944" s="38"/>
      <c r="L944" s="38"/>
    </row>
    <row r="945" spans="4:12" x14ac:dyDescent="0.25">
      <c r="D945" s="47"/>
      <c r="H945" s="38"/>
      <c r="I945" s="38"/>
      <c r="J945" s="38"/>
      <c r="K945" s="38"/>
      <c r="L945" s="38"/>
    </row>
    <row r="946" spans="4:12" x14ac:dyDescent="0.25">
      <c r="D946" s="47"/>
      <c r="H946" s="38"/>
      <c r="I946" s="38"/>
      <c r="J946" s="38"/>
      <c r="K946" s="38"/>
      <c r="L946" s="38"/>
    </row>
    <row r="947" spans="4:12" x14ac:dyDescent="0.25">
      <c r="D947" s="47"/>
      <c r="H947" s="38"/>
      <c r="I947" s="38"/>
      <c r="J947" s="38"/>
      <c r="K947" s="38"/>
      <c r="L947" s="38"/>
    </row>
    <row r="948" spans="4:12" x14ac:dyDescent="0.25">
      <c r="D948" s="47"/>
      <c r="H948" s="38"/>
      <c r="I948" s="38"/>
      <c r="J948" s="38"/>
      <c r="K948" s="38"/>
      <c r="L948" s="38"/>
    </row>
    <row r="949" spans="4:12" x14ac:dyDescent="0.25">
      <c r="D949" s="47"/>
      <c r="H949" s="38"/>
      <c r="I949" s="38"/>
      <c r="J949" s="38"/>
      <c r="K949" s="38"/>
      <c r="L949" s="38"/>
    </row>
    <row r="950" spans="4:12" x14ac:dyDescent="0.25">
      <c r="D950" s="47"/>
      <c r="H950" s="38"/>
      <c r="I950" s="38"/>
      <c r="J950" s="38"/>
      <c r="K950" s="38"/>
      <c r="L950" s="38"/>
    </row>
    <row r="951" spans="4:12" x14ac:dyDescent="0.25">
      <c r="D951" s="47"/>
      <c r="H951" s="38"/>
      <c r="I951" s="38"/>
      <c r="J951" s="38"/>
      <c r="K951" s="38"/>
      <c r="L951" s="38"/>
    </row>
    <row r="952" spans="4:12" x14ac:dyDescent="0.25">
      <c r="D952" s="47"/>
      <c r="H952" s="38"/>
      <c r="I952" s="38"/>
      <c r="J952" s="38"/>
      <c r="K952" s="38"/>
      <c r="L952" s="38"/>
    </row>
    <row r="953" spans="4:12" x14ac:dyDescent="0.25">
      <c r="D953" s="47"/>
      <c r="H953" s="38"/>
      <c r="I953" s="38"/>
      <c r="J953" s="38"/>
      <c r="K953" s="38"/>
      <c r="L953" s="38"/>
    </row>
    <row r="954" spans="4:12" x14ac:dyDescent="0.25">
      <c r="D954" s="47"/>
      <c r="H954" s="38"/>
      <c r="I954" s="38"/>
      <c r="J954" s="38"/>
      <c r="K954" s="38"/>
      <c r="L954" s="38"/>
    </row>
    <row r="955" spans="4:12" x14ac:dyDescent="0.25">
      <c r="D955" s="47"/>
      <c r="H955" s="38"/>
      <c r="I955" s="38"/>
      <c r="J955" s="38"/>
      <c r="K955" s="38"/>
      <c r="L955" s="38"/>
    </row>
    <row r="956" spans="4:12" x14ac:dyDescent="0.25">
      <c r="D956" s="47"/>
      <c r="H956" s="38"/>
      <c r="I956" s="38"/>
      <c r="J956" s="38"/>
      <c r="K956" s="38"/>
      <c r="L956" s="38"/>
    </row>
    <row r="957" spans="4:12" x14ac:dyDescent="0.25">
      <c r="D957" s="47"/>
      <c r="H957" s="38"/>
      <c r="I957" s="38"/>
      <c r="J957" s="38"/>
      <c r="K957" s="38"/>
      <c r="L957" s="38"/>
    </row>
    <row r="958" spans="4:12" x14ac:dyDescent="0.25">
      <c r="D958" s="47"/>
      <c r="H958" s="38"/>
      <c r="I958" s="38"/>
      <c r="J958" s="38"/>
      <c r="K958" s="38"/>
      <c r="L958" s="38"/>
    </row>
    <row r="959" spans="4:12" x14ac:dyDescent="0.25">
      <c r="D959" s="47"/>
      <c r="H959" s="38"/>
      <c r="I959" s="38"/>
      <c r="J959" s="38"/>
      <c r="K959" s="38"/>
      <c r="L959" s="38"/>
    </row>
    <row r="960" spans="4:12" x14ac:dyDescent="0.25">
      <c r="D960" s="47"/>
      <c r="H960" s="38"/>
      <c r="I960" s="38"/>
      <c r="J960" s="38"/>
      <c r="K960" s="38"/>
      <c r="L960" s="38"/>
    </row>
    <row r="961" spans="4:12" x14ac:dyDescent="0.25">
      <c r="D961" s="47"/>
      <c r="H961" s="38"/>
      <c r="I961" s="38"/>
      <c r="J961" s="38"/>
      <c r="K961" s="38"/>
      <c r="L961" s="38"/>
    </row>
    <row r="962" spans="4:12" x14ac:dyDescent="0.25">
      <c r="D962" s="47"/>
      <c r="H962" s="38"/>
      <c r="I962" s="38"/>
      <c r="J962" s="38"/>
      <c r="K962" s="38"/>
      <c r="L962" s="38"/>
    </row>
    <row r="963" spans="4:12" x14ac:dyDescent="0.25">
      <c r="D963" s="47"/>
      <c r="H963" s="38"/>
      <c r="I963" s="38"/>
      <c r="J963" s="38"/>
      <c r="K963" s="38"/>
      <c r="L963" s="38"/>
    </row>
    <row r="964" spans="4:12" x14ac:dyDescent="0.25">
      <c r="D964" s="47"/>
      <c r="H964" s="38"/>
      <c r="I964" s="38"/>
      <c r="J964" s="38"/>
      <c r="K964" s="38"/>
      <c r="L964" s="38"/>
    </row>
    <row r="965" spans="4:12" x14ac:dyDescent="0.25">
      <c r="D965" s="47"/>
      <c r="H965" s="38"/>
      <c r="I965" s="38"/>
      <c r="J965" s="38"/>
      <c r="K965" s="38"/>
      <c r="L965" s="38"/>
    </row>
    <row r="966" spans="4:12" x14ac:dyDescent="0.25">
      <c r="D966" s="47"/>
      <c r="H966" s="38"/>
      <c r="I966" s="38"/>
      <c r="J966" s="38"/>
      <c r="K966" s="38"/>
      <c r="L966" s="38"/>
    </row>
    <row r="967" spans="4:12" x14ac:dyDescent="0.25">
      <c r="D967" s="47"/>
      <c r="H967" s="38"/>
      <c r="I967" s="38"/>
      <c r="J967" s="38"/>
      <c r="K967" s="38"/>
      <c r="L967" s="38"/>
    </row>
    <row r="968" spans="4:12" x14ac:dyDescent="0.25">
      <c r="D968" s="47"/>
      <c r="H968" s="38"/>
      <c r="I968" s="38"/>
      <c r="J968" s="38"/>
      <c r="K968" s="38"/>
      <c r="L968" s="38"/>
    </row>
    <row r="969" spans="4:12" x14ac:dyDescent="0.25">
      <c r="D969" s="47"/>
      <c r="H969" s="38"/>
      <c r="I969" s="38"/>
      <c r="J969" s="38"/>
      <c r="K969" s="38"/>
      <c r="L969" s="38"/>
    </row>
    <row r="970" spans="4:12" x14ac:dyDescent="0.25">
      <c r="D970" s="47"/>
      <c r="H970" s="38"/>
      <c r="I970" s="38"/>
      <c r="J970" s="38"/>
      <c r="K970" s="38"/>
      <c r="L970" s="38"/>
    </row>
    <row r="971" spans="4:12" x14ac:dyDescent="0.25">
      <c r="D971" s="47"/>
      <c r="H971" s="38"/>
      <c r="I971" s="38"/>
      <c r="J971" s="38"/>
      <c r="K971" s="38"/>
      <c r="L971" s="38"/>
    </row>
    <row r="972" spans="4:12" x14ac:dyDescent="0.25">
      <c r="D972" s="47"/>
      <c r="H972" s="38"/>
      <c r="I972" s="38"/>
      <c r="J972" s="38"/>
      <c r="K972" s="38"/>
      <c r="L972" s="38"/>
    </row>
    <row r="973" spans="4:12" x14ac:dyDescent="0.25">
      <c r="D973" s="47"/>
      <c r="H973" s="38"/>
      <c r="I973" s="38"/>
      <c r="J973" s="38"/>
      <c r="K973" s="38"/>
      <c r="L973" s="38"/>
    </row>
    <row r="974" spans="4:12" x14ac:dyDescent="0.25">
      <c r="D974" s="47"/>
      <c r="H974" s="38"/>
      <c r="I974" s="38"/>
      <c r="J974" s="38"/>
      <c r="K974" s="38"/>
      <c r="L974" s="38"/>
    </row>
    <row r="975" spans="4:12" x14ac:dyDescent="0.25">
      <c r="D975" s="47"/>
      <c r="H975" s="38"/>
      <c r="I975" s="38"/>
      <c r="J975" s="38"/>
      <c r="K975" s="38"/>
      <c r="L975" s="38"/>
    </row>
    <row r="976" spans="4:12" x14ac:dyDescent="0.25">
      <c r="D976" s="47"/>
      <c r="H976" s="38"/>
      <c r="I976" s="38"/>
      <c r="J976" s="38"/>
      <c r="K976" s="38"/>
      <c r="L976" s="38"/>
    </row>
    <row r="977" spans="4:12" x14ac:dyDescent="0.25">
      <c r="D977" s="47"/>
      <c r="H977" s="38"/>
      <c r="I977" s="38"/>
      <c r="J977" s="38"/>
      <c r="K977" s="38"/>
      <c r="L977" s="38"/>
    </row>
    <row r="978" spans="4:12" x14ac:dyDescent="0.25">
      <c r="D978" s="47"/>
      <c r="H978" s="38"/>
      <c r="I978" s="38"/>
      <c r="J978" s="38"/>
      <c r="K978" s="38"/>
      <c r="L978" s="38"/>
    </row>
    <row r="979" spans="4:12" x14ac:dyDescent="0.25">
      <c r="D979" s="47"/>
      <c r="H979" s="38"/>
      <c r="I979" s="38"/>
      <c r="J979" s="38"/>
      <c r="K979" s="38"/>
      <c r="L979" s="38"/>
    </row>
    <row r="980" spans="4:12" x14ac:dyDescent="0.25">
      <c r="D980" s="47"/>
      <c r="H980" s="38"/>
      <c r="I980" s="38"/>
      <c r="J980" s="38"/>
      <c r="K980" s="38"/>
      <c r="L980" s="38"/>
    </row>
    <row r="981" spans="4:12" x14ac:dyDescent="0.25">
      <c r="D981" s="47"/>
      <c r="H981" s="38"/>
      <c r="I981" s="38"/>
      <c r="J981" s="38"/>
      <c r="K981" s="38"/>
      <c r="L981" s="38"/>
    </row>
    <row r="982" spans="4:12" x14ac:dyDescent="0.25">
      <c r="D982" s="47"/>
      <c r="H982" s="38"/>
      <c r="I982" s="38"/>
      <c r="J982" s="38"/>
      <c r="K982" s="38"/>
      <c r="L982" s="38"/>
    </row>
    <row r="983" spans="4:12" x14ac:dyDescent="0.25">
      <c r="D983" s="47"/>
      <c r="H983" s="38"/>
      <c r="I983" s="38"/>
      <c r="J983" s="38"/>
      <c r="K983" s="38"/>
      <c r="L983" s="38"/>
    </row>
    <row r="984" spans="4:12" x14ac:dyDescent="0.25">
      <c r="D984" s="47"/>
      <c r="H984" s="38"/>
      <c r="I984" s="38"/>
      <c r="J984" s="38"/>
      <c r="K984" s="38"/>
      <c r="L984" s="38"/>
    </row>
    <row r="985" spans="4:12" x14ac:dyDescent="0.25">
      <c r="D985" s="47"/>
      <c r="H985" s="38"/>
      <c r="I985" s="38"/>
      <c r="J985" s="38"/>
      <c r="K985" s="38"/>
      <c r="L985" s="38"/>
    </row>
    <row r="986" spans="4:12" x14ac:dyDescent="0.25">
      <c r="D986" s="47"/>
      <c r="H986" s="38"/>
      <c r="I986" s="38"/>
      <c r="J986" s="38"/>
      <c r="K986" s="38"/>
      <c r="L986" s="38"/>
    </row>
    <row r="987" spans="4:12" x14ac:dyDescent="0.25">
      <c r="D987" s="47"/>
      <c r="H987" s="38"/>
      <c r="I987" s="38"/>
      <c r="J987" s="38"/>
      <c r="K987" s="38"/>
      <c r="L987" s="38"/>
    </row>
    <row r="988" spans="4:12" x14ac:dyDescent="0.25">
      <c r="D988" s="47"/>
      <c r="H988" s="38"/>
      <c r="I988" s="38"/>
      <c r="J988" s="38"/>
      <c r="K988" s="38"/>
      <c r="L988" s="38"/>
    </row>
    <row r="989" spans="4:12" x14ac:dyDescent="0.25">
      <c r="D989" s="47"/>
      <c r="H989" s="38"/>
      <c r="I989" s="38"/>
      <c r="J989" s="38"/>
      <c r="K989" s="38"/>
      <c r="L989" s="38"/>
    </row>
    <row r="990" spans="4:12" x14ac:dyDescent="0.25">
      <c r="D990" s="47"/>
      <c r="H990" s="38"/>
      <c r="I990" s="38"/>
      <c r="J990" s="38"/>
      <c r="K990" s="38"/>
      <c r="L990" s="38"/>
    </row>
    <row r="991" spans="4:12" x14ac:dyDescent="0.25">
      <c r="D991" s="47"/>
      <c r="H991" s="38"/>
      <c r="I991" s="38"/>
      <c r="J991" s="38"/>
      <c r="K991" s="38"/>
      <c r="L991" s="38"/>
    </row>
    <row r="992" spans="4:12" x14ac:dyDescent="0.25">
      <c r="D992" s="47"/>
      <c r="H992" s="38"/>
      <c r="I992" s="38"/>
      <c r="J992" s="38"/>
      <c r="K992" s="38"/>
      <c r="L992" s="38"/>
    </row>
    <row r="993" spans="4:12" x14ac:dyDescent="0.25">
      <c r="D993" s="47"/>
      <c r="H993" s="38"/>
      <c r="I993" s="38"/>
      <c r="J993" s="38"/>
      <c r="K993" s="38"/>
      <c r="L993" s="38"/>
    </row>
    <row r="994" spans="4:12" x14ac:dyDescent="0.25">
      <c r="D994" s="47"/>
      <c r="H994" s="38"/>
      <c r="I994" s="38"/>
      <c r="J994" s="38"/>
      <c r="K994" s="38"/>
      <c r="L994" s="38"/>
    </row>
    <row r="995" spans="4:12" x14ac:dyDescent="0.25">
      <c r="D995" s="47"/>
      <c r="H995" s="38"/>
      <c r="I995" s="38"/>
      <c r="J995" s="38"/>
      <c r="K995" s="38"/>
      <c r="L995" s="38"/>
    </row>
    <row r="996" spans="4:12" x14ac:dyDescent="0.25">
      <c r="D996" s="47"/>
      <c r="H996" s="38"/>
      <c r="I996" s="38"/>
      <c r="J996" s="38"/>
      <c r="K996" s="38"/>
      <c r="L996" s="38"/>
    </row>
    <row r="997" spans="4:12" x14ac:dyDescent="0.25">
      <c r="D997" s="47"/>
      <c r="H997" s="38"/>
      <c r="I997" s="38"/>
      <c r="J997" s="38"/>
      <c r="K997" s="38"/>
      <c r="L997" s="38"/>
    </row>
    <row r="998" spans="4:12" x14ac:dyDescent="0.25">
      <c r="D998" s="47"/>
      <c r="H998" s="38"/>
      <c r="I998" s="38"/>
      <c r="J998" s="38"/>
      <c r="K998" s="38"/>
      <c r="L998" s="38"/>
    </row>
    <row r="999" spans="4:12" x14ac:dyDescent="0.25">
      <c r="D999" s="47"/>
      <c r="H999" s="38"/>
      <c r="I999" s="38"/>
      <c r="J999" s="38"/>
      <c r="K999" s="38"/>
      <c r="L999" s="38"/>
    </row>
    <row r="1000" spans="4:12" x14ac:dyDescent="0.25">
      <c r="D1000" s="47"/>
      <c r="H1000" s="38"/>
      <c r="I1000" s="38"/>
      <c r="J1000" s="38"/>
      <c r="K1000" s="38"/>
      <c r="L1000" s="38"/>
    </row>
    <row r="1001" spans="4:12" x14ac:dyDescent="0.25">
      <c r="D1001" s="47"/>
      <c r="H1001" s="38"/>
      <c r="I1001" s="38"/>
      <c r="J1001" s="38"/>
      <c r="K1001" s="38"/>
      <c r="L1001" s="38"/>
    </row>
    <row r="1002" spans="4:12" x14ac:dyDescent="0.25">
      <c r="D1002" s="47"/>
      <c r="H1002" s="38"/>
      <c r="I1002" s="38"/>
      <c r="J1002" s="38"/>
      <c r="K1002" s="38"/>
      <c r="L1002" s="38"/>
    </row>
    <row r="1003" spans="4:12" x14ac:dyDescent="0.25">
      <c r="D1003" s="47"/>
      <c r="H1003" s="38"/>
      <c r="I1003" s="38"/>
      <c r="J1003" s="38"/>
      <c r="K1003" s="38"/>
      <c r="L1003" s="38"/>
    </row>
    <row r="1004" spans="4:12" x14ac:dyDescent="0.25">
      <c r="D1004" s="47"/>
      <c r="H1004" s="38"/>
      <c r="I1004" s="38"/>
      <c r="J1004" s="38"/>
      <c r="K1004" s="38"/>
      <c r="L1004" s="38"/>
    </row>
    <row r="1005" spans="4:12" x14ac:dyDescent="0.25">
      <c r="D1005" s="47"/>
      <c r="H1005" s="38"/>
      <c r="I1005" s="38"/>
      <c r="J1005" s="38"/>
      <c r="K1005" s="38"/>
      <c r="L1005" s="38"/>
    </row>
    <row r="1006" spans="4:12" x14ac:dyDescent="0.25">
      <c r="D1006" s="47"/>
      <c r="H1006" s="38"/>
      <c r="I1006" s="38"/>
      <c r="J1006" s="38"/>
      <c r="K1006" s="38"/>
      <c r="L1006" s="38"/>
    </row>
    <row r="1007" spans="4:12" x14ac:dyDescent="0.25">
      <c r="D1007" s="47"/>
      <c r="H1007" s="38"/>
      <c r="I1007" s="38"/>
      <c r="J1007" s="38"/>
      <c r="K1007" s="38"/>
      <c r="L1007" s="38"/>
    </row>
    <row r="1008" spans="4:12" x14ac:dyDescent="0.25">
      <c r="D1008" s="47"/>
      <c r="H1008" s="38"/>
      <c r="I1008" s="38"/>
      <c r="J1008" s="38"/>
      <c r="K1008" s="38"/>
      <c r="L1008" s="38"/>
    </row>
    <row r="1009" spans="4:12" x14ac:dyDescent="0.25">
      <c r="D1009" s="47"/>
      <c r="H1009" s="38"/>
      <c r="I1009" s="38"/>
      <c r="J1009" s="38"/>
      <c r="K1009" s="38"/>
      <c r="L1009" s="38"/>
    </row>
    <row r="1010" spans="4:12" x14ac:dyDescent="0.25">
      <c r="D1010" s="47"/>
      <c r="H1010" s="38"/>
      <c r="I1010" s="38"/>
      <c r="J1010" s="38"/>
      <c r="K1010" s="38"/>
      <c r="L1010" s="38"/>
    </row>
    <row r="1011" spans="4:12" x14ac:dyDescent="0.25">
      <c r="D1011" s="47"/>
      <c r="H1011" s="38"/>
      <c r="I1011" s="38"/>
      <c r="J1011" s="38"/>
      <c r="K1011" s="38"/>
      <c r="L1011" s="38"/>
    </row>
    <row r="1012" spans="4:12" x14ac:dyDescent="0.25">
      <c r="D1012" s="47"/>
      <c r="H1012" s="38"/>
      <c r="I1012" s="38"/>
      <c r="J1012" s="38"/>
      <c r="K1012" s="38"/>
      <c r="L1012" s="38"/>
    </row>
    <row r="1013" spans="4:12" x14ac:dyDescent="0.25">
      <c r="D1013" s="47"/>
      <c r="H1013" s="38"/>
      <c r="I1013" s="38"/>
      <c r="J1013" s="38"/>
      <c r="K1013" s="38"/>
      <c r="L1013" s="38"/>
    </row>
    <row r="1014" spans="4:12" x14ac:dyDescent="0.25">
      <c r="D1014" s="47"/>
      <c r="H1014" s="38"/>
      <c r="I1014" s="38"/>
      <c r="J1014" s="38"/>
      <c r="K1014" s="38"/>
      <c r="L1014" s="38"/>
    </row>
    <row r="1015" spans="4:12" x14ac:dyDescent="0.25">
      <c r="D1015" s="47"/>
      <c r="H1015" s="38"/>
      <c r="I1015" s="38"/>
      <c r="J1015" s="38"/>
      <c r="K1015" s="38"/>
      <c r="L1015" s="38"/>
    </row>
    <row r="1016" spans="4:12" x14ac:dyDescent="0.25">
      <c r="D1016" s="47"/>
      <c r="H1016" s="38"/>
      <c r="I1016" s="38"/>
      <c r="J1016" s="38"/>
      <c r="K1016" s="38"/>
      <c r="L1016" s="38"/>
    </row>
    <row r="1017" spans="4:12" x14ac:dyDescent="0.25">
      <c r="D1017" s="47"/>
      <c r="H1017" s="38"/>
      <c r="I1017" s="38"/>
      <c r="J1017" s="38"/>
      <c r="K1017" s="38"/>
      <c r="L1017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workbookViewId="0">
      <selection sqref="A1:J1"/>
    </sheetView>
  </sheetViews>
  <sheetFormatPr defaultColWidth="14.42578125" defaultRowHeight="15" customHeight="1" x14ac:dyDescent="0.25"/>
  <sheetData>
    <row r="1" spans="1:11" x14ac:dyDescent="0.25">
      <c r="A1" s="81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48"/>
    </row>
    <row r="2" spans="1:11" x14ac:dyDescent="0.25">
      <c r="A2" s="49" t="str">
        <f ca="1">IFERROR(__xludf.DUMMYFUNCTION("IMPORTRANGE(""https://docs.google.com/spreadsheets/d/14wVr207VBa5coyRUzXD0V66v2_0TV2GCcJULyxjh1ys/edit?gid=60628931#gid=60628931"",""Results_WEBNORUS EUR 20393!A1:J"")"),"Date")</f>
        <v>Date</v>
      </c>
      <c r="B2" s="15" t="str">
        <f ca="1">IFERROR(__xludf.DUMMYFUNCTION("""COMPUTED_VALUE"""),"Amount")</f>
        <v>Amount</v>
      </c>
      <c r="C2" s="15" t="str">
        <f ca="1">IFERROR(__xludf.DUMMYFUNCTION("""COMPUTED_VALUE"""),"Qty")</f>
        <v>Qty</v>
      </c>
      <c r="D2" s="15" t="str">
        <f ca="1">IFERROR(__xludf.DUMMYFUNCTION("""COMPUTED_VALUE"""),"Commission A")</f>
        <v>Commission A</v>
      </c>
      <c r="E2" s="15" t="str">
        <f ca="1">IFERROR(__xludf.DUMMYFUNCTION("""COMPUTED_VALUE"""),"Commission B")</f>
        <v>Commission B</v>
      </c>
      <c r="F2" s="15" t="str">
        <f ca="1">IFERROR(__xludf.DUMMYFUNCTION("""COMPUTED_VALUE"""),"Commission C")</f>
        <v>Commission C</v>
      </c>
      <c r="G2" s="15" t="str">
        <f ca="1">IFERROR(__xludf.DUMMYFUNCTION("""COMPUTED_VALUE"""),"Commission D")</f>
        <v>Commission D</v>
      </c>
      <c r="H2" s="15" t="str">
        <f ca="1">IFERROR(__xludf.DUMMYFUNCTION("""COMPUTED_VALUE"""),"Refund Sum")</f>
        <v>Refund Sum</v>
      </c>
      <c r="I2" s="15" t="str">
        <f ca="1">IFERROR(__xludf.DUMMYFUNCTION("""COMPUTED_VALUE"""),"Refund Qty")</f>
        <v>Refund Qty</v>
      </c>
      <c r="J2" s="4" t="str">
        <f ca="1">IFERROR(__xludf.DUMMYFUNCTION("""COMPUTED_VALUE"""),"Payment failed Qty")</f>
        <v>Payment failed Qty</v>
      </c>
      <c r="K2" s="48"/>
    </row>
    <row r="3" spans="1:11" x14ac:dyDescent="0.25">
      <c r="A3" s="50">
        <f ca="1">IFERROR(__xludf.DUMMYFUNCTION("""COMPUTED_VALUE"""),45977)</f>
        <v>45977</v>
      </c>
      <c r="B3" s="51">
        <f ca="1">IFERROR(__xludf.DUMMYFUNCTION("""COMPUTED_VALUE"""),0)</f>
        <v>0</v>
      </c>
      <c r="C3" s="51">
        <f ca="1">IFERROR(__xludf.DUMMYFUNCTION("""COMPUTED_VALUE"""),0)</f>
        <v>0</v>
      </c>
      <c r="D3" s="51">
        <f ca="1">IFERROR(__xludf.DUMMYFUNCTION("""COMPUTED_VALUE"""),0)</f>
        <v>0</v>
      </c>
      <c r="E3" s="51">
        <f ca="1">IFERROR(__xludf.DUMMYFUNCTION("""COMPUTED_VALUE"""),0)</f>
        <v>0</v>
      </c>
      <c r="F3" s="51">
        <f ca="1">IFERROR(__xludf.DUMMYFUNCTION("""COMPUTED_VALUE"""),0)</f>
        <v>0</v>
      </c>
      <c r="G3" s="51">
        <f ca="1">IFERROR(__xludf.DUMMYFUNCTION("""COMPUTED_VALUE"""),0)</f>
        <v>0</v>
      </c>
      <c r="H3" s="51">
        <f ca="1">IFERROR(__xludf.DUMMYFUNCTION("""COMPUTED_VALUE"""),0)</f>
        <v>0</v>
      </c>
      <c r="I3" s="51">
        <f ca="1">IFERROR(__xludf.DUMMYFUNCTION("""COMPUTED_VALUE"""),0)</f>
        <v>0</v>
      </c>
      <c r="J3" s="52">
        <f ca="1">IFERROR(__xludf.DUMMYFUNCTION("""COMPUTED_VALUE"""),0)</f>
        <v>0</v>
      </c>
      <c r="K3" s="48"/>
    </row>
    <row r="4" spans="1:11" x14ac:dyDescent="0.25">
      <c r="A4" s="50">
        <f ca="1">IFERROR(__xludf.DUMMYFUNCTION("""COMPUTED_VALUE"""),45978)</f>
        <v>45978</v>
      </c>
      <c r="B4" s="51">
        <f ca="1">IFERROR(__xludf.DUMMYFUNCTION("""COMPUTED_VALUE"""),2279.47)</f>
        <v>2279.4699999999998</v>
      </c>
      <c r="C4" s="51">
        <f ca="1">IFERROR(__xludf.DUMMYFUNCTION("""COMPUTED_VALUE"""),35)</f>
        <v>35</v>
      </c>
      <c r="D4" s="51">
        <f ca="1">IFERROR(__xludf.DUMMYFUNCTION("""COMPUTED_VALUE"""),86.6)</f>
        <v>86.6</v>
      </c>
      <c r="E4" s="51">
        <f ca="1">IFERROR(__xludf.DUMMYFUNCTION("""COMPUTED_VALUE"""),227.95)</f>
        <v>227.95</v>
      </c>
      <c r="F4" s="51">
        <f ca="1">IFERROR(__xludf.DUMMYFUNCTION("""COMPUTED_VALUE"""),0)</f>
        <v>0</v>
      </c>
      <c r="G4" s="51">
        <f ca="1">IFERROR(__xludf.DUMMYFUNCTION("""COMPUTED_VALUE"""),0)</f>
        <v>0</v>
      </c>
      <c r="H4" s="51">
        <f ca="1">IFERROR(__xludf.DUMMYFUNCTION("""COMPUTED_VALUE"""),0)</f>
        <v>0</v>
      </c>
      <c r="I4" s="51">
        <f ca="1">IFERROR(__xludf.DUMMYFUNCTION("""COMPUTED_VALUE"""),0)</f>
        <v>0</v>
      </c>
      <c r="J4" s="52">
        <f ca="1">IFERROR(__xludf.DUMMYFUNCTION("""COMPUTED_VALUE"""),0)</f>
        <v>0</v>
      </c>
      <c r="K4" s="48"/>
    </row>
    <row r="5" spans="1:11" x14ac:dyDescent="0.25">
      <c r="A5" s="50">
        <f ca="1">IFERROR(__xludf.DUMMYFUNCTION("""COMPUTED_VALUE"""),45979)</f>
        <v>45979</v>
      </c>
      <c r="B5" s="51">
        <f ca="1">IFERROR(__xludf.DUMMYFUNCTION("""COMPUTED_VALUE"""),5712.28)</f>
        <v>5712.28</v>
      </c>
      <c r="C5" s="51">
        <f ca="1">IFERROR(__xludf.DUMMYFUNCTION("""COMPUTED_VALUE"""),66)</f>
        <v>66</v>
      </c>
      <c r="D5" s="51">
        <f ca="1">IFERROR(__xludf.DUMMYFUNCTION("""COMPUTED_VALUE"""),217.06)</f>
        <v>217.06</v>
      </c>
      <c r="E5" s="51">
        <f ca="1">IFERROR(__xludf.DUMMYFUNCTION("""COMPUTED_VALUE"""),571.27)</f>
        <v>571.27</v>
      </c>
      <c r="F5" s="51">
        <f ca="1">IFERROR(__xludf.DUMMYFUNCTION("""COMPUTED_VALUE"""),0)</f>
        <v>0</v>
      </c>
      <c r="G5" s="51">
        <f ca="1">IFERROR(__xludf.DUMMYFUNCTION("""COMPUTED_VALUE"""),0)</f>
        <v>0</v>
      </c>
      <c r="H5" s="51">
        <f ca="1">IFERROR(__xludf.DUMMYFUNCTION("""COMPUTED_VALUE"""),0)</f>
        <v>0</v>
      </c>
      <c r="I5" s="51">
        <f ca="1">IFERROR(__xludf.DUMMYFUNCTION("""COMPUTED_VALUE"""),0)</f>
        <v>0</v>
      </c>
      <c r="J5" s="52">
        <f ca="1">IFERROR(__xludf.DUMMYFUNCTION("""COMPUTED_VALUE"""),0)</f>
        <v>0</v>
      </c>
      <c r="K5" s="48"/>
    </row>
    <row r="6" spans="1:11" x14ac:dyDescent="0.25">
      <c r="A6" s="50">
        <f ca="1">IFERROR(__xludf.DUMMYFUNCTION("""COMPUTED_VALUE"""),45980)</f>
        <v>45980</v>
      </c>
      <c r="B6" s="51">
        <f ca="1">IFERROR(__xludf.DUMMYFUNCTION("""COMPUTED_VALUE"""),3900.6)</f>
        <v>3900.6</v>
      </c>
      <c r="C6" s="51">
        <f ca="1">IFERROR(__xludf.DUMMYFUNCTION("""COMPUTED_VALUE"""),54)</f>
        <v>54</v>
      </c>
      <c r="D6" s="51">
        <f ca="1">IFERROR(__xludf.DUMMYFUNCTION("""COMPUTED_VALUE"""),148.22)</f>
        <v>148.22</v>
      </c>
      <c r="E6" s="51">
        <f ca="1">IFERROR(__xludf.DUMMYFUNCTION("""COMPUTED_VALUE"""),390.08)</f>
        <v>390.08</v>
      </c>
      <c r="F6" s="51">
        <f ca="1">IFERROR(__xludf.DUMMYFUNCTION("""COMPUTED_VALUE"""),0)</f>
        <v>0</v>
      </c>
      <c r="G6" s="51">
        <f ca="1">IFERROR(__xludf.DUMMYFUNCTION("""COMPUTED_VALUE"""),0)</f>
        <v>0</v>
      </c>
      <c r="H6" s="51">
        <f ca="1">IFERROR(__xludf.DUMMYFUNCTION("""COMPUTED_VALUE"""),0)</f>
        <v>0</v>
      </c>
      <c r="I6" s="51">
        <f ca="1">IFERROR(__xludf.DUMMYFUNCTION("""COMPUTED_VALUE"""),0)</f>
        <v>0</v>
      </c>
      <c r="J6" s="52">
        <f ca="1">IFERROR(__xludf.DUMMYFUNCTION("""COMPUTED_VALUE"""),0)</f>
        <v>0</v>
      </c>
      <c r="K6" s="48"/>
    </row>
    <row r="7" spans="1:11" x14ac:dyDescent="0.25">
      <c r="A7" s="50">
        <f ca="1">IFERROR(__xludf.DUMMYFUNCTION("""COMPUTED_VALUE"""),45981)</f>
        <v>45981</v>
      </c>
      <c r="B7" s="51">
        <f ca="1">IFERROR(__xludf.DUMMYFUNCTION("""COMPUTED_VALUE"""),5785.19)</f>
        <v>5785.19</v>
      </c>
      <c r="C7" s="51">
        <f ca="1">IFERROR(__xludf.DUMMYFUNCTION("""COMPUTED_VALUE"""),80)</f>
        <v>80</v>
      </c>
      <c r="D7" s="51">
        <f ca="1">IFERROR(__xludf.DUMMYFUNCTION("""COMPUTED_VALUE"""),219.86)</f>
        <v>219.86</v>
      </c>
      <c r="E7" s="51">
        <f ca="1">IFERROR(__xludf.DUMMYFUNCTION("""COMPUTED_VALUE"""),578.55)</f>
        <v>578.54999999999995</v>
      </c>
      <c r="F7" s="51">
        <f ca="1">IFERROR(__xludf.DUMMYFUNCTION("""COMPUTED_VALUE"""),0)</f>
        <v>0</v>
      </c>
      <c r="G7" s="51">
        <f ca="1">IFERROR(__xludf.DUMMYFUNCTION("""COMPUTED_VALUE"""),0)</f>
        <v>0</v>
      </c>
      <c r="H7" s="51">
        <f ca="1">IFERROR(__xludf.DUMMYFUNCTION("""COMPUTED_VALUE"""),0)</f>
        <v>0</v>
      </c>
      <c r="I7" s="51">
        <f ca="1">IFERROR(__xludf.DUMMYFUNCTION("""COMPUTED_VALUE"""),0)</f>
        <v>0</v>
      </c>
      <c r="J7" s="52">
        <f ca="1">IFERROR(__xludf.DUMMYFUNCTION("""COMPUTED_VALUE"""),0)</f>
        <v>0</v>
      </c>
      <c r="K7" s="48"/>
    </row>
    <row r="8" spans="1:11" x14ac:dyDescent="0.25">
      <c r="A8" s="50">
        <f ca="1">IFERROR(__xludf.DUMMYFUNCTION("""COMPUTED_VALUE"""),45982)</f>
        <v>45982</v>
      </c>
      <c r="B8" s="51">
        <f ca="1">IFERROR(__xludf.DUMMYFUNCTION("""COMPUTED_VALUE"""),3947.45)</f>
        <v>3947.45</v>
      </c>
      <c r="C8" s="51">
        <f ca="1">IFERROR(__xludf.DUMMYFUNCTION("""COMPUTED_VALUE"""),69)</f>
        <v>69</v>
      </c>
      <c r="D8" s="51">
        <f ca="1">IFERROR(__xludf.DUMMYFUNCTION("""COMPUTED_VALUE"""),149.98)</f>
        <v>149.97999999999999</v>
      </c>
      <c r="E8" s="51">
        <f ca="1">IFERROR(__xludf.DUMMYFUNCTION("""COMPUTED_VALUE"""),394.76)</f>
        <v>394.76</v>
      </c>
      <c r="F8" s="51">
        <f ca="1">IFERROR(__xludf.DUMMYFUNCTION("""COMPUTED_VALUE"""),0)</f>
        <v>0</v>
      </c>
      <c r="G8" s="51">
        <f ca="1">IFERROR(__xludf.DUMMYFUNCTION("""COMPUTED_VALUE"""),0)</f>
        <v>0</v>
      </c>
      <c r="H8" s="51">
        <f ca="1">IFERROR(__xludf.DUMMYFUNCTION("""COMPUTED_VALUE"""),0)</f>
        <v>0</v>
      </c>
      <c r="I8" s="51">
        <f ca="1">IFERROR(__xludf.DUMMYFUNCTION("""COMPUTED_VALUE"""),0)</f>
        <v>0</v>
      </c>
      <c r="J8" s="52">
        <f ca="1">IFERROR(__xludf.DUMMYFUNCTION("""COMPUTED_VALUE"""),0)</f>
        <v>0</v>
      </c>
      <c r="K8" s="48"/>
    </row>
    <row r="9" spans="1:11" x14ac:dyDescent="0.25">
      <c r="A9" s="50">
        <f ca="1">IFERROR(__xludf.DUMMYFUNCTION("""COMPUTED_VALUE"""),45983)</f>
        <v>45983</v>
      </c>
      <c r="B9" s="51">
        <f ca="1">IFERROR(__xludf.DUMMYFUNCTION("""COMPUTED_VALUE"""),4839.66)</f>
        <v>4839.66</v>
      </c>
      <c r="C9" s="51">
        <f ca="1">IFERROR(__xludf.DUMMYFUNCTION("""COMPUTED_VALUE"""),61)</f>
        <v>61</v>
      </c>
      <c r="D9" s="51">
        <f ca="1">IFERROR(__xludf.DUMMYFUNCTION("""COMPUTED_VALUE"""),183.89)</f>
        <v>183.89</v>
      </c>
      <c r="E9" s="51">
        <f ca="1">IFERROR(__xludf.DUMMYFUNCTION("""COMPUTED_VALUE"""),483.96)</f>
        <v>483.96</v>
      </c>
      <c r="F9" s="51">
        <f ca="1">IFERROR(__xludf.DUMMYFUNCTION("""COMPUTED_VALUE"""),0)</f>
        <v>0</v>
      </c>
      <c r="G9" s="51">
        <f ca="1">IFERROR(__xludf.DUMMYFUNCTION("""COMPUTED_VALUE"""),0)</f>
        <v>0</v>
      </c>
      <c r="H9" s="51">
        <f ca="1">IFERROR(__xludf.DUMMYFUNCTION("""COMPUTED_VALUE"""),0)</f>
        <v>0</v>
      </c>
      <c r="I9" s="51">
        <f ca="1">IFERROR(__xludf.DUMMYFUNCTION("""COMPUTED_VALUE"""),0)</f>
        <v>0</v>
      </c>
      <c r="J9" s="52">
        <f ca="1">IFERROR(__xludf.DUMMYFUNCTION("""COMPUTED_VALUE"""),0)</f>
        <v>0</v>
      </c>
      <c r="K9" s="48"/>
    </row>
    <row r="10" spans="1:11" x14ac:dyDescent="0.25">
      <c r="A10" s="50">
        <f ca="1">IFERROR(__xludf.DUMMYFUNCTION("""COMPUTED_VALUE"""),45984)</f>
        <v>45984</v>
      </c>
      <c r="B10" s="51">
        <f ca="1">IFERROR(__xludf.DUMMYFUNCTION("""COMPUTED_VALUE"""),2399.16)</f>
        <v>2399.16</v>
      </c>
      <c r="C10" s="51">
        <f ca="1">IFERROR(__xludf.DUMMYFUNCTION("""COMPUTED_VALUE"""),46)</f>
        <v>46</v>
      </c>
      <c r="D10" s="51">
        <f ca="1">IFERROR(__xludf.DUMMYFUNCTION("""COMPUTED_VALUE"""),91.16)</f>
        <v>91.16</v>
      </c>
      <c r="E10" s="51">
        <f ca="1">IFERROR(__xludf.DUMMYFUNCTION("""COMPUTED_VALUE"""),239.92)</f>
        <v>239.92</v>
      </c>
      <c r="F10" s="51">
        <f ca="1">IFERROR(__xludf.DUMMYFUNCTION("""COMPUTED_VALUE"""),0)</f>
        <v>0</v>
      </c>
      <c r="G10" s="51">
        <f ca="1">IFERROR(__xludf.DUMMYFUNCTION("""COMPUTED_VALUE"""),0)</f>
        <v>0</v>
      </c>
      <c r="H10" s="51">
        <f ca="1">IFERROR(__xludf.DUMMYFUNCTION("""COMPUTED_VALUE"""),0)</f>
        <v>0</v>
      </c>
      <c r="I10" s="51">
        <f ca="1">IFERROR(__xludf.DUMMYFUNCTION("""COMPUTED_VALUE"""),0)</f>
        <v>0</v>
      </c>
      <c r="J10" s="52">
        <f ca="1">IFERROR(__xludf.DUMMYFUNCTION("""COMPUTED_VALUE"""),0)</f>
        <v>0</v>
      </c>
      <c r="K10" s="48"/>
    </row>
    <row r="11" spans="1:11" x14ac:dyDescent="0.25">
      <c r="A11" s="50">
        <f ca="1">IFERROR(__xludf.DUMMYFUNCTION("""COMPUTED_VALUE"""),45985)</f>
        <v>45985</v>
      </c>
      <c r="B11" s="51">
        <f ca="1">IFERROR(__xludf.DUMMYFUNCTION("""COMPUTED_VALUE"""),4835.39)</f>
        <v>4835.3900000000003</v>
      </c>
      <c r="C11" s="51">
        <f ca="1">IFERROR(__xludf.DUMMYFUNCTION("""COMPUTED_VALUE"""),57)</f>
        <v>57</v>
      </c>
      <c r="D11" s="51">
        <f ca="1">IFERROR(__xludf.DUMMYFUNCTION("""COMPUTED_VALUE"""),183.75)</f>
        <v>183.75</v>
      </c>
      <c r="E11" s="51">
        <f ca="1">IFERROR(__xludf.DUMMYFUNCTION("""COMPUTED_VALUE"""),483.59)</f>
        <v>483.59</v>
      </c>
      <c r="F11" s="51">
        <f ca="1">IFERROR(__xludf.DUMMYFUNCTION("""COMPUTED_VALUE"""),0)</f>
        <v>0</v>
      </c>
      <c r="G11" s="51">
        <f ca="1">IFERROR(__xludf.DUMMYFUNCTION("""COMPUTED_VALUE"""),0)</f>
        <v>0</v>
      </c>
      <c r="H11" s="51">
        <f ca="1">IFERROR(__xludf.DUMMYFUNCTION("""COMPUTED_VALUE"""),0)</f>
        <v>0</v>
      </c>
      <c r="I11" s="51">
        <f ca="1">IFERROR(__xludf.DUMMYFUNCTION("""COMPUTED_VALUE"""),0)</f>
        <v>0</v>
      </c>
      <c r="J11" s="52">
        <f ca="1">IFERROR(__xludf.DUMMYFUNCTION("""COMPUTED_VALUE"""),0)</f>
        <v>0</v>
      </c>
      <c r="K11" s="48"/>
    </row>
    <row r="12" spans="1:11" x14ac:dyDescent="0.25">
      <c r="A12" s="50">
        <f ca="1">IFERROR(__xludf.DUMMYFUNCTION("""COMPUTED_VALUE"""),45986)</f>
        <v>45986</v>
      </c>
      <c r="B12" s="51">
        <f ca="1">IFERROR(__xludf.DUMMYFUNCTION("""COMPUTED_VALUE"""),3811.69)</f>
        <v>3811.69</v>
      </c>
      <c r="C12" s="51">
        <f ca="1">IFERROR(__xludf.DUMMYFUNCTION("""COMPUTED_VALUE"""),74)</f>
        <v>74</v>
      </c>
      <c r="D12" s="51">
        <f ca="1">IFERROR(__xludf.DUMMYFUNCTION("""COMPUTED_VALUE"""),144.84)</f>
        <v>144.84</v>
      </c>
      <c r="E12" s="51">
        <f ca="1">IFERROR(__xludf.DUMMYFUNCTION("""COMPUTED_VALUE"""),381.2)</f>
        <v>381.2</v>
      </c>
      <c r="F12" s="51">
        <f ca="1">IFERROR(__xludf.DUMMYFUNCTION("""COMPUTED_VALUE"""),0)</f>
        <v>0</v>
      </c>
      <c r="G12" s="51">
        <f ca="1">IFERROR(__xludf.DUMMYFUNCTION("""COMPUTED_VALUE"""),0)</f>
        <v>0</v>
      </c>
      <c r="H12" s="51">
        <f ca="1">IFERROR(__xludf.DUMMYFUNCTION("""COMPUTED_VALUE"""),0)</f>
        <v>0</v>
      </c>
      <c r="I12" s="51">
        <f ca="1">IFERROR(__xludf.DUMMYFUNCTION("""COMPUTED_VALUE"""),0)</f>
        <v>0</v>
      </c>
      <c r="J12" s="52">
        <f ca="1">IFERROR(__xludf.DUMMYFUNCTION("""COMPUTED_VALUE"""),0)</f>
        <v>0</v>
      </c>
      <c r="K12" s="48"/>
    </row>
    <row r="13" spans="1:11" x14ac:dyDescent="0.25">
      <c r="A13" s="50">
        <f ca="1">IFERROR(__xludf.DUMMYFUNCTION("""COMPUTED_VALUE"""),45987)</f>
        <v>45987</v>
      </c>
      <c r="B13" s="51">
        <f ca="1">IFERROR(__xludf.DUMMYFUNCTION("""COMPUTED_VALUE"""),10267.28)</f>
        <v>10267.280000000001</v>
      </c>
      <c r="C13" s="51">
        <f ca="1">IFERROR(__xludf.DUMMYFUNCTION("""COMPUTED_VALUE"""),253)</f>
        <v>253</v>
      </c>
      <c r="D13" s="51">
        <f ca="1">IFERROR(__xludf.DUMMYFUNCTION("""COMPUTED_VALUE"""),390.21)</f>
        <v>390.21</v>
      </c>
      <c r="E13" s="51">
        <f ca="1">IFERROR(__xludf.DUMMYFUNCTION("""COMPUTED_VALUE"""),1026.85)</f>
        <v>1026.8499999999999</v>
      </c>
      <c r="F13" s="51">
        <f ca="1">IFERROR(__xludf.DUMMYFUNCTION("""COMPUTED_VALUE"""),0)</f>
        <v>0</v>
      </c>
      <c r="G13" s="51">
        <f ca="1">IFERROR(__xludf.DUMMYFUNCTION("""COMPUTED_VALUE"""),0)</f>
        <v>0</v>
      </c>
      <c r="H13" s="51">
        <f ca="1">IFERROR(__xludf.DUMMYFUNCTION("""COMPUTED_VALUE"""),0)</f>
        <v>0</v>
      </c>
      <c r="I13" s="51">
        <f ca="1">IFERROR(__xludf.DUMMYFUNCTION("""COMPUTED_VALUE"""),0)</f>
        <v>0</v>
      </c>
      <c r="J13" s="52">
        <f ca="1">IFERROR(__xludf.DUMMYFUNCTION("""COMPUTED_VALUE"""),0)</f>
        <v>0</v>
      </c>
      <c r="K13" s="48"/>
    </row>
    <row r="14" spans="1:11" x14ac:dyDescent="0.25">
      <c r="A14" s="50">
        <f ca="1">IFERROR(__xludf.DUMMYFUNCTION("""COMPUTED_VALUE"""),45988)</f>
        <v>45988</v>
      </c>
      <c r="B14" s="51">
        <f ca="1">IFERROR(__xludf.DUMMYFUNCTION("""COMPUTED_VALUE"""),17770.36)</f>
        <v>17770.36</v>
      </c>
      <c r="C14" s="51">
        <f ca="1">IFERROR(__xludf.DUMMYFUNCTION("""COMPUTED_VALUE"""),368)</f>
        <v>368</v>
      </c>
      <c r="D14" s="51">
        <f ca="1">IFERROR(__xludf.DUMMYFUNCTION("""COMPUTED_VALUE"""),675.13)</f>
        <v>675.13</v>
      </c>
      <c r="E14" s="51">
        <f ca="1">IFERROR(__xludf.DUMMYFUNCTION("""COMPUTED_VALUE"""),1777.43)</f>
        <v>1777.43</v>
      </c>
      <c r="F14" s="51">
        <f ca="1">IFERROR(__xludf.DUMMYFUNCTION("""COMPUTED_VALUE"""),0)</f>
        <v>0</v>
      </c>
      <c r="G14" s="51">
        <f ca="1">IFERROR(__xludf.DUMMYFUNCTION("""COMPUTED_VALUE"""),0)</f>
        <v>0</v>
      </c>
      <c r="H14" s="51">
        <f ca="1">IFERROR(__xludf.DUMMYFUNCTION("""COMPUTED_VALUE"""),0)</f>
        <v>0</v>
      </c>
      <c r="I14" s="51">
        <f ca="1">IFERROR(__xludf.DUMMYFUNCTION("""COMPUTED_VALUE"""),0)</f>
        <v>0</v>
      </c>
      <c r="J14" s="52">
        <f ca="1">IFERROR(__xludf.DUMMYFUNCTION("""COMPUTED_VALUE"""),0)</f>
        <v>0</v>
      </c>
      <c r="K14" s="48"/>
    </row>
    <row r="15" spans="1:11" x14ac:dyDescent="0.25">
      <c r="A15" s="50">
        <f ca="1">IFERROR(__xludf.DUMMYFUNCTION("""COMPUTED_VALUE"""),45989)</f>
        <v>45989</v>
      </c>
      <c r="B15" s="51">
        <f ca="1">IFERROR(__xludf.DUMMYFUNCTION("""COMPUTED_VALUE"""),9798.9)</f>
        <v>9798.9</v>
      </c>
      <c r="C15" s="51">
        <f ca="1">IFERROR(__xludf.DUMMYFUNCTION("""COMPUTED_VALUE"""),139)</f>
        <v>139</v>
      </c>
      <c r="D15" s="51">
        <f ca="1">IFERROR(__xludf.DUMMYFUNCTION("""COMPUTED_VALUE"""),372.37)</f>
        <v>372.37</v>
      </c>
      <c r="E15" s="51">
        <f ca="1">IFERROR(__xludf.DUMMYFUNCTION("""COMPUTED_VALUE"""),979.94)</f>
        <v>979.94</v>
      </c>
      <c r="F15" s="51">
        <f ca="1">IFERROR(__xludf.DUMMYFUNCTION("""COMPUTED_VALUE"""),0)</f>
        <v>0</v>
      </c>
      <c r="G15" s="51">
        <f ca="1">IFERROR(__xludf.DUMMYFUNCTION("""COMPUTED_VALUE"""),0)</f>
        <v>0</v>
      </c>
      <c r="H15" s="51">
        <f ca="1">IFERROR(__xludf.DUMMYFUNCTION("""COMPUTED_VALUE"""),0)</f>
        <v>0</v>
      </c>
      <c r="I15" s="51">
        <f ca="1">IFERROR(__xludf.DUMMYFUNCTION("""COMPUTED_VALUE"""),0)</f>
        <v>0</v>
      </c>
      <c r="J15" s="52">
        <f ca="1">IFERROR(__xludf.DUMMYFUNCTION("""COMPUTED_VALUE"""),0)</f>
        <v>0</v>
      </c>
      <c r="K15" s="48"/>
    </row>
    <row r="16" spans="1:11" x14ac:dyDescent="0.25">
      <c r="A16" s="50">
        <f ca="1">IFERROR(__xludf.DUMMYFUNCTION("""COMPUTED_VALUE"""),45990)</f>
        <v>45990</v>
      </c>
      <c r="B16" s="51">
        <f ca="1">IFERROR(__xludf.DUMMYFUNCTION("""COMPUTED_VALUE"""),4455.03)</f>
        <v>4455.03</v>
      </c>
      <c r="C16" s="51">
        <f ca="1">IFERROR(__xludf.DUMMYFUNCTION("""COMPUTED_VALUE"""),62)</f>
        <v>62</v>
      </c>
      <c r="D16" s="51">
        <f ca="1">IFERROR(__xludf.DUMMYFUNCTION("""COMPUTED_VALUE"""),169.3)</f>
        <v>169.3</v>
      </c>
      <c r="E16" s="51">
        <f ca="1">IFERROR(__xludf.DUMMYFUNCTION("""COMPUTED_VALUE"""),445.52)</f>
        <v>445.52</v>
      </c>
      <c r="F16" s="51">
        <f ca="1">IFERROR(__xludf.DUMMYFUNCTION("""COMPUTED_VALUE"""),0)</f>
        <v>0</v>
      </c>
      <c r="G16" s="51">
        <f ca="1">IFERROR(__xludf.DUMMYFUNCTION("""COMPUTED_VALUE"""),0)</f>
        <v>0</v>
      </c>
      <c r="H16" s="51">
        <f ca="1">IFERROR(__xludf.DUMMYFUNCTION("""COMPUTED_VALUE"""),0)</f>
        <v>0</v>
      </c>
      <c r="I16" s="51">
        <f ca="1">IFERROR(__xludf.DUMMYFUNCTION("""COMPUTED_VALUE"""),0)</f>
        <v>0</v>
      </c>
      <c r="J16" s="52">
        <f ca="1">IFERROR(__xludf.DUMMYFUNCTION("""COMPUTED_VALUE"""),0)</f>
        <v>0</v>
      </c>
      <c r="K16" s="48"/>
    </row>
    <row r="17" spans="1:11" x14ac:dyDescent="0.25">
      <c r="A17" s="50">
        <f ca="1">IFERROR(__xludf.DUMMYFUNCTION("""COMPUTED_VALUE"""),45991)</f>
        <v>45991</v>
      </c>
      <c r="B17" s="51">
        <f ca="1">IFERROR(__xludf.DUMMYFUNCTION("""COMPUTED_VALUE"""),3486.55)</f>
        <v>3486.55</v>
      </c>
      <c r="C17" s="51">
        <f ca="1">IFERROR(__xludf.DUMMYFUNCTION("""COMPUTED_VALUE"""),72)</f>
        <v>72</v>
      </c>
      <c r="D17" s="51">
        <f ca="1">IFERROR(__xludf.DUMMYFUNCTION("""COMPUTED_VALUE"""),132.52)</f>
        <v>132.52000000000001</v>
      </c>
      <c r="E17" s="51">
        <f ca="1">IFERROR(__xludf.DUMMYFUNCTION("""COMPUTED_VALUE"""),348.67)</f>
        <v>348.67</v>
      </c>
      <c r="F17" s="51">
        <f ca="1">IFERROR(__xludf.DUMMYFUNCTION("""COMPUTED_VALUE"""),0)</f>
        <v>0</v>
      </c>
      <c r="G17" s="51">
        <f ca="1">IFERROR(__xludf.DUMMYFUNCTION("""COMPUTED_VALUE"""),0)</f>
        <v>0</v>
      </c>
      <c r="H17" s="51">
        <f ca="1">IFERROR(__xludf.DUMMYFUNCTION("""COMPUTED_VALUE"""),0)</f>
        <v>0</v>
      </c>
      <c r="I17" s="51">
        <f ca="1">IFERROR(__xludf.DUMMYFUNCTION("""COMPUTED_VALUE"""),0)</f>
        <v>0</v>
      </c>
      <c r="J17" s="52">
        <f ca="1">IFERROR(__xludf.DUMMYFUNCTION("""COMPUTED_VALUE"""),0)</f>
        <v>0</v>
      </c>
      <c r="K17" s="48"/>
    </row>
    <row r="18" spans="1:11" x14ac:dyDescent="0.25">
      <c r="A18" s="50">
        <f ca="1">IFERROR(__xludf.DUMMYFUNCTION("""COMPUTED_VALUE"""),45992)</f>
        <v>45992</v>
      </c>
      <c r="B18" s="51">
        <f ca="1">IFERROR(__xludf.DUMMYFUNCTION("""COMPUTED_VALUE"""),5260.05)</f>
        <v>5260.05</v>
      </c>
      <c r="C18" s="51">
        <f ca="1">IFERROR(__xludf.DUMMYFUNCTION("""COMPUTED_VALUE"""),89)</f>
        <v>89</v>
      </c>
      <c r="D18" s="51">
        <f ca="1">IFERROR(__xludf.DUMMYFUNCTION("""COMPUTED_VALUE"""),199.9)</f>
        <v>199.9</v>
      </c>
      <c r="E18" s="51">
        <f ca="1">IFERROR(__xludf.DUMMYFUNCTION("""COMPUTED_VALUE"""),526.01)</f>
        <v>526.01</v>
      </c>
      <c r="F18" s="51">
        <f ca="1">IFERROR(__xludf.DUMMYFUNCTION("""COMPUTED_VALUE"""),0)</f>
        <v>0</v>
      </c>
      <c r="G18" s="51">
        <f ca="1">IFERROR(__xludf.DUMMYFUNCTION("""COMPUTED_VALUE"""),0)</f>
        <v>0</v>
      </c>
      <c r="H18" s="51">
        <f ca="1">IFERROR(__xludf.DUMMYFUNCTION("""COMPUTED_VALUE"""),0)</f>
        <v>0</v>
      </c>
      <c r="I18" s="51">
        <f ca="1">IFERROR(__xludf.DUMMYFUNCTION("""COMPUTED_VALUE"""),0)</f>
        <v>0</v>
      </c>
      <c r="J18" s="52">
        <f ca="1">IFERROR(__xludf.DUMMYFUNCTION("""COMPUTED_VALUE"""),0)</f>
        <v>0</v>
      </c>
      <c r="K18" s="48"/>
    </row>
    <row r="19" spans="1:11" x14ac:dyDescent="0.25">
      <c r="A19" s="50">
        <f ca="1">IFERROR(__xludf.DUMMYFUNCTION("""COMPUTED_VALUE"""),45993)</f>
        <v>45993</v>
      </c>
      <c r="B19" s="51">
        <f ca="1">IFERROR(__xludf.DUMMYFUNCTION("""COMPUTED_VALUE"""),6076.84)</f>
        <v>6076.84</v>
      </c>
      <c r="C19" s="51">
        <f ca="1">IFERROR(__xludf.DUMMYFUNCTION("""COMPUTED_VALUE"""),127)</f>
        <v>127</v>
      </c>
      <c r="D19" s="51">
        <f ca="1">IFERROR(__xludf.DUMMYFUNCTION("""COMPUTED_VALUE"""),231)</f>
        <v>231</v>
      </c>
      <c r="E19" s="51">
        <f ca="1">IFERROR(__xludf.DUMMYFUNCTION("""COMPUTED_VALUE"""),607.7)</f>
        <v>607.70000000000005</v>
      </c>
      <c r="F19" s="51">
        <f ca="1">IFERROR(__xludf.DUMMYFUNCTION("""COMPUTED_VALUE"""),0)</f>
        <v>0</v>
      </c>
      <c r="G19" s="51">
        <f ca="1">IFERROR(__xludf.DUMMYFUNCTION("""COMPUTED_VALUE"""),0)</f>
        <v>0</v>
      </c>
      <c r="H19" s="51">
        <f ca="1">IFERROR(__xludf.DUMMYFUNCTION("""COMPUTED_VALUE"""),0)</f>
        <v>0</v>
      </c>
      <c r="I19" s="51">
        <f ca="1">IFERROR(__xludf.DUMMYFUNCTION("""COMPUTED_VALUE"""),0)</f>
        <v>0</v>
      </c>
      <c r="J19" s="52">
        <f ca="1">IFERROR(__xludf.DUMMYFUNCTION("""COMPUTED_VALUE"""),0)</f>
        <v>0</v>
      </c>
      <c r="K19" s="48"/>
    </row>
    <row r="20" spans="1:11" x14ac:dyDescent="0.25">
      <c r="A20" s="50">
        <f ca="1">IFERROR(__xludf.DUMMYFUNCTION("""COMPUTED_VALUE"""),45994)</f>
        <v>45994</v>
      </c>
      <c r="B20" s="51">
        <f ca="1">IFERROR(__xludf.DUMMYFUNCTION("""COMPUTED_VALUE"""),8425.79)</f>
        <v>8425.7900000000009</v>
      </c>
      <c r="C20" s="51">
        <f ca="1">IFERROR(__xludf.DUMMYFUNCTION("""COMPUTED_VALUE"""),114)</f>
        <v>114</v>
      </c>
      <c r="D20" s="51">
        <f ca="1">IFERROR(__xludf.DUMMYFUNCTION("""COMPUTED_VALUE"""),320.2)</f>
        <v>320.2</v>
      </c>
      <c r="E20" s="51">
        <f ca="1">IFERROR(__xludf.DUMMYFUNCTION("""COMPUTED_VALUE"""),842.62)</f>
        <v>842.62</v>
      </c>
      <c r="F20" s="51">
        <f ca="1">IFERROR(__xludf.DUMMYFUNCTION("""COMPUTED_VALUE"""),0)</f>
        <v>0</v>
      </c>
      <c r="G20" s="51">
        <f ca="1">IFERROR(__xludf.DUMMYFUNCTION("""COMPUTED_VALUE"""),0)</f>
        <v>0</v>
      </c>
      <c r="H20" s="51">
        <f ca="1">IFERROR(__xludf.DUMMYFUNCTION("""COMPUTED_VALUE"""),0)</f>
        <v>0</v>
      </c>
      <c r="I20" s="51">
        <f ca="1">IFERROR(__xludf.DUMMYFUNCTION("""COMPUTED_VALUE"""),0)</f>
        <v>0</v>
      </c>
      <c r="J20" s="52">
        <f ca="1">IFERROR(__xludf.DUMMYFUNCTION("""COMPUTED_VALUE"""),0)</f>
        <v>0</v>
      </c>
      <c r="K20" s="48"/>
    </row>
    <row r="21" spans="1:11" x14ac:dyDescent="0.25">
      <c r="A21" s="50">
        <f ca="1">IFERROR(__xludf.DUMMYFUNCTION("""COMPUTED_VALUE"""),45995)</f>
        <v>45995</v>
      </c>
      <c r="B21" s="51">
        <f ca="1">IFERROR(__xludf.DUMMYFUNCTION("""COMPUTED_VALUE"""),6584.84)</f>
        <v>6584.84</v>
      </c>
      <c r="C21" s="51">
        <f ca="1">IFERROR(__xludf.DUMMYFUNCTION("""COMPUTED_VALUE"""),103)</f>
        <v>103</v>
      </c>
      <c r="D21" s="51">
        <f ca="1">IFERROR(__xludf.DUMMYFUNCTION("""COMPUTED_VALUE"""),250.29)</f>
        <v>250.29</v>
      </c>
      <c r="E21" s="51">
        <f ca="1">IFERROR(__xludf.DUMMYFUNCTION("""COMPUTED_VALUE"""),658.56)</f>
        <v>658.56</v>
      </c>
      <c r="F21" s="51">
        <f ca="1">IFERROR(__xludf.DUMMYFUNCTION("""COMPUTED_VALUE"""),0)</f>
        <v>0</v>
      </c>
      <c r="G21" s="51">
        <f ca="1">IFERROR(__xludf.DUMMYFUNCTION("""COMPUTED_VALUE"""),0)</f>
        <v>0</v>
      </c>
      <c r="H21" s="51">
        <f ca="1">IFERROR(__xludf.DUMMYFUNCTION("""COMPUTED_VALUE"""),0)</f>
        <v>0</v>
      </c>
      <c r="I21" s="51">
        <f ca="1">IFERROR(__xludf.DUMMYFUNCTION("""COMPUTED_VALUE"""),0)</f>
        <v>0</v>
      </c>
      <c r="J21" s="52">
        <f ca="1">IFERROR(__xludf.DUMMYFUNCTION("""COMPUTED_VALUE"""),0)</f>
        <v>0</v>
      </c>
      <c r="K21" s="48"/>
    </row>
    <row r="22" spans="1:11" x14ac:dyDescent="0.25">
      <c r="A22" s="50">
        <f ca="1">IFERROR(__xludf.DUMMYFUNCTION("""COMPUTED_VALUE"""),45996)</f>
        <v>45996</v>
      </c>
      <c r="B22" s="51">
        <f ca="1">IFERROR(__xludf.DUMMYFUNCTION("""COMPUTED_VALUE"""),5848.86)</f>
        <v>5848.86</v>
      </c>
      <c r="C22" s="51">
        <f ca="1">IFERROR(__xludf.DUMMYFUNCTION("""COMPUTED_VALUE"""),99)</f>
        <v>99</v>
      </c>
      <c r="D22" s="51">
        <f ca="1">IFERROR(__xludf.DUMMYFUNCTION("""COMPUTED_VALUE"""),222.27)</f>
        <v>222.27</v>
      </c>
      <c r="E22" s="51">
        <f ca="1">IFERROR(__xludf.DUMMYFUNCTION("""COMPUTED_VALUE"""),584.89)</f>
        <v>584.89</v>
      </c>
      <c r="F22" s="51">
        <f ca="1">IFERROR(__xludf.DUMMYFUNCTION("""COMPUTED_VALUE"""),0)</f>
        <v>0</v>
      </c>
      <c r="G22" s="51">
        <f ca="1">IFERROR(__xludf.DUMMYFUNCTION("""COMPUTED_VALUE"""),0)</f>
        <v>0</v>
      </c>
      <c r="H22" s="51">
        <f ca="1">IFERROR(__xludf.DUMMYFUNCTION("""COMPUTED_VALUE"""),0)</f>
        <v>0</v>
      </c>
      <c r="I22" s="51">
        <f ca="1">IFERROR(__xludf.DUMMYFUNCTION("""COMPUTED_VALUE"""),0)</f>
        <v>0</v>
      </c>
      <c r="J22" s="52">
        <f ca="1">IFERROR(__xludf.DUMMYFUNCTION("""COMPUTED_VALUE"""),0)</f>
        <v>0</v>
      </c>
      <c r="K22" s="48"/>
    </row>
    <row r="23" spans="1:11" x14ac:dyDescent="0.25">
      <c r="A23" s="50">
        <f ca="1">IFERROR(__xludf.DUMMYFUNCTION("""COMPUTED_VALUE"""),45997)</f>
        <v>45997</v>
      </c>
      <c r="B23" s="51">
        <f ca="1">IFERROR(__xludf.DUMMYFUNCTION("""COMPUTED_VALUE"""),6327.2)</f>
        <v>6327.2</v>
      </c>
      <c r="C23" s="51">
        <f ca="1">IFERROR(__xludf.DUMMYFUNCTION("""COMPUTED_VALUE"""),85)</f>
        <v>85</v>
      </c>
      <c r="D23" s="51">
        <f ca="1">IFERROR(__xludf.DUMMYFUNCTION("""COMPUTED_VALUE"""),240.46)</f>
        <v>240.46</v>
      </c>
      <c r="E23" s="51">
        <f ca="1">IFERROR(__xludf.DUMMYFUNCTION("""COMPUTED_VALUE"""),632.73)</f>
        <v>632.73</v>
      </c>
      <c r="F23" s="51">
        <f ca="1">IFERROR(__xludf.DUMMYFUNCTION("""COMPUTED_VALUE"""),0)</f>
        <v>0</v>
      </c>
      <c r="G23" s="51">
        <f ca="1">IFERROR(__xludf.DUMMYFUNCTION("""COMPUTED_VALUE"""),0)</f>
        <v>0</v>
      </c>
      <c r="H23" s="51">
        <f ca="1">IFERROR(__xludf.DUMMYFUNCTION("""COMPUTED_VALUE"""),0)</f>
        <v>0</v>
      </c>
      <c r="I23" s="51">
        <f ca="1">IFERROR(__xludf.DUMMYFUNCTION("""COMPUTED_VALUE"""),0)</f>
        <v>0</v>
      </c>
      <c r="J23" s="52">
        <f ca="1">IFERROR(__xludf.DUMMYFUNCTION("""COMPUTED_VALUE"""),0)</f>
        <v>0</v>
      </c>
      <c r="K23" s="48"/>
    </row>
    <row r="24" spans="1:11" x14ac:dyDescent="0.25">
      <c r="A24" s="50">
        <f ca="1">IFERROR(__xludf.DUMMYFUNCTION("""COMPUTED_VALUE"""),45998)</f>
        <v>45998</v>
      </c>
      <c r="B24" s="51">
        <f ca="1">IFERROR(__xludf.DUMMYFUNCTION("""COMPUTED_VALUE"""),5495.15)</f>
        <v>5495.15</v>
      </c>
      <c r="C24" s="51">
        <f ca="1">IFERROR(__xludf.DUMMYFUNCTION("""COMPUTED_VALUE"""),76)</f>
        <v>76</v>
      </c>
      <c r="D24" s="51">
        <f ca="1">IFERROR(__xludf.DUMMYFUNCTION("""COMPUTED_VALUE"""),208.79)</f>
        <v>208.79</v>
      </c>
      <c r="E24" s="51">
        <f ca="1">IFERROR(__xludf.DUMMYFUNCTION("""COMPUTED_VALUE"""),549.51)</f>
        <v>549.51</v>
      </c>
      <c r="F24" s="51">
        <f ca="1">IFERROR(__xludf.DUMMYFUNCTION("""COMPUTED_VALUE"""),0)</f>
        <v>0</v>
      </c>
      <c r="G24" s="51">
        <f ca="1">IFERROR(__xludf.DUMMYFUNCTION("""COMPUTED_VALUE"""),0)</f>
        <v>0</v>
      </c>
      <c r="H24" s="51">
        <f ca="1">IFERROR(__xludf.DUMMYFUNCTION("""COMPUTED_VALUE"""),0)</f>
        <v>0</v>
      </c>
      <c r="I24" s="51">
        <f ca="1">IFERROR(__xludf.DUMMYFUNCTION("""COMPUTED_VALUE"""),0)</f>
        <v>0</v>
      </c>
      <c r="J24" s="52">
        <f ca="1">IFERROR(__xludf.DUMMYFUNCTION("""COMPUTED_VALUE"""),0)</f>
        <v>0</v>
      </c>
      <c r="K24" s="48"/>
    </row>
    <row r="25" spans="1:11" x14ac:dyDescent="0.25">
      <c r="A25" s="50">
        <f ca="1">IFERROR(__xludf.DUMMYFUNCTION("""COMPUTED_VALUE"""),45999)</f>
        <v>45999</v>
      </c>
      <c r="B25" s="51">
        <f ca="1">IFERROR(__xludf.DUMMYFUNCTION("""COMPUTED_VALUE"""),3939.5)</f>
        <v>3939.5</v>
      </c>
      <c r="C25" s="51">
        <f ca="1">IFERROR(__xludf.DUMMYFUNCTION("""COMPUTED_VALUE"""),82)</f>
        <v>82</v>
      </c>
      <c r="D25" s="51">
        <f ca="1">IFERROR(__xludf.DUMMYFUNCTION("""COMPUTED_VALUE"""),149.68)</f>
        <v>149.68</v>
      </c>
      <c r="E25" s="51">
        <f ca="1">IFERROR(__xludf.DUMMYFUNCTION("""COMPUTED_VALUE"""),393.93)</f>
        <v>393.93</v>
      </c>
      <c r="F25" s="51">
        <f ca="1">IFERROR(__xludf.DUMMYFUNCTION("""COMPUTED_VALUE"""),0)</f>
        <v>0</v>
      </c>
      <c r="G25" s="51">
        <f ca="1">IFERROR(__xludf.DUMMYFUNCTION("""COMPUTED_VALUE"""),0)</f>
        <v>0</v>
      </c>
      <c r="H25" s="51">
        <f ca="1">IFERROR(__xludf.DUMMYFUNCTION("""COMPUTED_VALUE"""),0)</f>
        <v>0</v>
      </c>
      <c r="I25" s="51">
        <f ca="1">IFERROR(__xludf.DUMMYFUNCTION("""COMPUTED_VALUE"""),0)</f>
        <v>0</v>
      </c>
      <c r="J25" s="52">
        <f ca="1">IFERROR(__xludf.DUMMYFUNCTION("""COMPUTED_VALUE"""),0)</f>
        <v>0</v>
      </c>
      <c r="K25" s="48"/>
    </row>
    <row r="26" spans="1:11" x14ac:dyDescent="0.25">
      <c r="A26" s="50">
        <f ca="1">IFERROR(__xludf.DUMMYFUNCTION("""COMPUTED_VALUE"""),46000)</f>
        <v>46000</v>
      </c>
      <c r="B26" s="51">
        <f ca="1">IFERROR(__xludf.DUMMYFUNCTION("""COMPUTED_VALUE"""),5077.16)</f>
        <v>5077.16</v>
      </c>
      <c r="C26" s="51">
        <f ca="1">IFERROR(__xludf.DUMMYFUNCTION("""COMPUTED_VALUE"""),78)</f>
        <v>78</v>
      </c>
      <c r="D26" s="51">
        <f ca="1">IFERROR(__xludf.DUMMYFUNCTION("""COMPUTED_VALUE"""),192.95)</f>
        <v>192.95</v>
      </c>
      <c r="E26" s="51">
        <f ca="1">IFERROR(__xludf.DUMMYFUNCTION("""COMPUTED_VALUE"""),507.73)</f>
        <v>507.73</v>
      </c>
      <c r="F26" s="51">
        <f ca="1">IFERROR(__xludf.DUMMYFUNCTION("""COMPUTED_VALUE"""),0)</f>
        <v>0</v>
      </c>
      <c r="G26" s="51">
        <f ca="1">IFERROR(__xludf.DUMMYFUNCTION("""COMPUTED_VALUE"""),0)</f>
        <v>0</v>
      </c>
      <c r="H26" s="51">
        <f ca="1">IFERROR(__xludf.DUMMYFUNCTION("""COMPUTED_VALUE"""),0)</f>
        <v>0</v>
      </c>
      <c r="I26" s="51">
        <f ca="1">IFERROR(__xludf.DUMMYFUNCTION("""COMPUTED_VALUE"""),0)</f>
        <v>0</v>
      </c>
      <c r="J26" s="52">
        <f ca="1">IFERROR(__xludf.DUMMYFUNCTION("""COMPUTED_VALUE"""),0)</f>
        <v>0</v>
      </c>
      <c r="K26" s="48"/>
    </row>
    <row r="27" spans="1:11" x14ac:dyDescent="0.25">
      <c r="A27" s="50">
        <f ca="1">IFERROR(__xludf.DUMMYFUNCTION("""COMPUTED_VALUE"""),46001)</f>
        <v>46001</v>
      </c>
      <c r="B27" s="51">
        <f ca="1">IFERROR(__xludf.DUMMYFUNCTION("""COMPUTED_VALUE"""),5368.12)</f>
        <v>5368.12</v>
      </c>
      <c r="C27" s="51">
        <f ca="1">IFERROR(__xludf.DUMMYFUNCTION("""COMPUTED_VALUE"""),85)</f>
        <v>85</v>
      </c>
      <c r="D27" s="51">
        <f ca="1">IFERROR(__xludf.DUMMYFUNCTION("""COMPUTED_VALUE"""),204)</f>
        <v>204</v>
      </c>
      <c r="E27" s="51">
        <f ca="1">IFERROR(__xludf.DUMMYFUNCTION("""COMPUTED_VALUE"""),536.86)</f>
        <v>536.86</v>
      </c>
      <c r="F27" s="51">
        <f ca="1">IFERROR(__xludf.DUMMYFUNCTION("""COMPUTED_VALUE"""),0)</f>
        <v>0</v>
      </c>
      <c r="G27" s="51">
        <f ca="1">IFERROR(__xludf.DUMMYFUNCTION("""COMPUTED_VALUE"""),0)</f>
        <v>0</v>
      </c>
      <c r="H27" s="51">
        <f ca="1">IFERROR(__xludf.DUMMYFUNCTION("""COMPUTED_VALUE"""),0)</f>
        <v>0</v>
      </c>
      <c r="I27" s="51">
        <f ca="1">IFERROR(__xludf.DUMMYFUNCTION("""COMPUTED_VALUE"""),0)</f>
        <v>0</v>
      </c>
      <c r="J27" s="52">
        <f ca="1">IFERROR(__xludf.DUMMYFUNCTION("""COMPUTED_VALUE"""),0)</f>
        <v>0</v>
      </c>
      <c r="K27" s="48"/>
    </row>
    <row r="28" spans="1:11" x14ac:dyDescent="0.25">
      <c r="A28" s="50">
        <f ca="1">IFERROR(__xludf.DUMMYFUNCTION("""COMPUTED_VALUE"""),46002)</f>
        <v>46002</v>
      </c>
      <c r="B28" s="51">
        <f ca="1">IFERROR(__xludf.DUMMYFUNCTION("""COMPUTED_VALUE"""),5766.63)</f>
        <v>5766.63</v>
      </c>
      <c r="C28" s="51">
        <f ca="1">IFERROR(__xludf.DUMMYFUNCTION("""COMPUTED_VALUE"""),96)</f>
        <v>96</v>
      </c>
      <c r="D28" s="51">
        <f ca="1">IFERROR(__xludf.DUMMYFUNCTION("""COMPUTED_VALUE"""),219.1)</f>
        <v>219.1</v>
      </c>
      <c r="E28" s="51">
        <f ca="1">IFERROR(__xludf.DUMMYFUNCTION("""COMPUTED_VALUE"""),576.66)</f>
        <v>576.66</v>
      </c>
      <c r="F28" s="51">
        <f ca="1">IFERROR(__xludf.DUMMYFUNCTION("""COMPUTED_VALUE"""),0)</f>
        <v>0</v>
      </c>
      <c r="G28" s="51">
        <f ca="1">IFERROR(__xludf.DUMMYFUNCTION("""COMPUTED_VALUE"""),0)</f>
        <v>0</v>
      </c>
      <c r="H28" s="51">
        <f ca="1">IFERROR(__xludf.DUMMYFUNCTION("""COMPUTED_VALUE"""),0)</f>
        <v>0</v>
      </c>
      <c r="I28" s="51">
        <f ca="1">IFERROR(__xludf.DUMMYFUNCTION("""COMPUTED_VALUE"""),0)</f>
        <v>0</v>
      </c>
      <c r="J28" s="52">
        <f ca="1">IFERROR(__xludf.DUMMYFUNCTION("""COMPUTED_VALUE"""),0)</f>
        <v>0</v>
      </c>
      <c r="K28" s="48"/>
    </row>
    <row r="29" spans="1:11" x14ac:dyDescent="0.25">
      <c r="A29" s="50">
        <f ca="1">IFERROR(__xludf.DUMMYFUNCTION("""COMPUTED_VALUE"""),46003)</f>
        <v>46003</v>
      </c>
      <c r="B29" s="51">
        <f ca="1">IFERROR(__xludf.DUMMYFUNCTION("""COMPUTED_VALUE"""),12121.51)</f>
        <v>12121.51</v>
      </c>
      <c r="C29" s="51">
        <f ca="1">IFERROR(__xludf.DUMMYFUNCTION("""COMPUTED_VALUE"""),138)</f>
        <v>138</v>
      </c>
      <c r="D29" s="51">
        <f ca="1">IFERROR(__xludf.DUMMYFUNCTION("""COMPUTED_VALUE"""),460.61)</f>
        <v>460.61</v>
      </c>
      <c r="E29" s="51">
        <f ca="1">IFERROR(__xludf.DUMMYFUNCTION("""COMPUTED_VALUE"""),1212.18)</f>
        <v>1212.18</v>
      </c>
      <c r="F29" s="51">
        <f ca="1">IFERROR(__xludf.DUMMYFUNCTION("""COMPUTED_VALUE"""),0)</f>
        <v>0</v>
      </c>
      <c r="G29" s="51">
        <f ca="1">IFERROR(__xludf.DUMMYFUNCTION("""COMPUTED_VALUE"""),0)</f>
        <v>0</v>
      </c>
      <c r="H29" s="51">
        <f ca="1">IFERROR(__xludf.DUMMYFUNCTION("""COMPUTED_VALUE"""),0)</f>
        <v>0</v>
      </c>
      <c r="I29" s="51">
        <f ca="1">IFERROR(__xludf.DUMMYFUNCTION("""COMPUTED_VALUE"""),0)</f>
        <v>0</v>
      </c>
      <c r="J29" s="52">
        <f ca="1">IFERROR(__xludf.DUMMYFUNCTION("""COMPUTED_VALUE"""),0)</f>
        <v>0</v>
      </c>
      <c r="K29" s="48"/>
    </row>
    <row r="30" spans="1:11" x14ac:dyDescent="0.25">
      <c r="A30" s="50">
        <f ca="1">IFERROR(__xludf.DUMMYFUNCTION("""COMPUTED_VALUE"""),46004)</f>
        <v>46004</v>
      </c>
      <c r="B30" s="51">
        <f ca="1">IFERROR(__xludf.DUMMYFUNCTION("""COMPUTED_VALUE"""),7229.93)</f>
        <v>7229.93</v>
      </c>
      <c r="C30" s="51">
        <f ca="1">IFERROR(__xludf.DUMMYFUNCTION("""COMPUTED_VALUE"""),78)</f>
        <v>78</v>
      </c>
      <c r="D30" s="51">
        <f ca="1">IFERROR(__xludf.DUMMYFUNCTION("""COMPUTED_VALUE"""),274.74)</f>
        <v>274.74</v>
      </c>
      <c r="E30" s="51">
        <f ca="1">IFERROR(__xludf.DUMMYFUNCTION("""COMPUTED_VALUE"""),723.04)</f>
        <v>723.04</v>
      </c>
      <c r="F30" s="51">
        <f ca="1">IFERROR(__xludf.DUMMYFUNCTION("""COMPUTED_VALUE"""),0)</f>
        <v>0</v>
      </c>
      <c r="G30" s="51">
        <f ca="1">IFERROR(__xludf.DUMMYFUNCTION("""COMPUTED_VALUE"""),0)</f>
        <v>0</v>
      </c>
      <c r="H30" s="51">
        <f ca="1">IFERROR(__xludf.DUMMYFUNCTION("""COMPUTED_VALUE"""),0)</f>
        <v>0</v>
      </c>
      <c r="I30" s="51">
        <f ca="1">IFERROR(__xludf.DUMMYFUNCTION("""COMPUTED_VALUE"""),0)</f>
        <v>0</v>
      </c>
      <c r="J30" s="52">
        <f ca="1">IFERROR(__xludf.DUMMYFUNCTION("""COMPUTED_VALUE"""),0)</f>
        <v>0</v>
      </c>
      <c r="K30" s="48"/>
    </row>
    <row r="31" spans="1:11" x14ac:dyDescent="0.25">
      <c r="A31" s="50">
        <f ca="1">IFERROR(__xludf.DUMMYFUNCTION("""COMPUTED_VALUE"""),46005)</f>
        <v>46005</v>
      </c>
      <c r="B31" s="51">
        <f ca="1">IFERROR(__xludf.DUMMYFUNCTION("""COMPUTED_VALUE"""),4296.79)</f>
        <v>4296.79</v>
      </c>
      <c r="C31" s="51">
        <f ca="1">IFERROR(__xludf.DUMMYFUNCTION("""COMPUTED_VALUE"""),68)</f>
        <v>68</v>
      </c>
      <c r="D31" s="51">
        <f ca="1">IFERROR(__xludf.DUMMYFUNCTION("""COMPUTED_VALUE"""),163.29)</f>
        <v>163.29</v>
      </c>
      <c r="E31" s="51">
        <f ca="1">IFERROR(__xludf.DUMMYFUNCTION("""COMPUTED_VALUE"""),429.69)</f>
        <v>429.69</v>
      </c>
      <c r="F31" s="51">
        <f ca="1">IFERROR(__xludf.DUMMYFUNCTION("""COMPUTED_VALUE"""),0)</f>
        <v>0</v>
      </c>
      <c r="G31" s="51">
        <f ca="1">IFERROR(__xludf.DUMMYFUNCTION("""COMPUTED_VALUE"""),0)</f>
        <v>0</v>
      </c>
      <c r="H31" s="51">
        <f ca="1">IFERROR(__xludf.DUMMYFUNCTION("""COMPUTED_VALUE"""),0)</f>
        <v>0</v>
      </c>
      <c r="I31" s="51">
        <f ca="1">IFERROR(__xludf.DUMMYFUNCTION("""COMPUTED_VALUE"""),0)</f>
        <v>0</v>
      </c>
      <c r="J31" s="52">
        <f ca="1">IFERROR(__xludf.DUMMYFUNCTION("""COMPUTED_VALUE"""),0)</f>
        <v>0</v>
      </c>
      <c r="K31" s="48"/>
    </row>
    <row r="32" spans="1:11" x14ac:dyDescent="0.25">
      <c r="A32" s="50">
        <f ca="1">IFERROR(__xludf.DUMMYFUNCTION("""COMPUTED_VALUE"""),46006)</f>
        <v>46006</v>
      </c>
      <c r="B32" s="51">
        <f ca="1">IFERROR(__xludf.DUMMYFUNCTION("""COMPUTED_VALUE"""),5445.48)</f>
        <v>5445.48</v>
      </c>
      <c r="C32" s="51">
        <f ca="1">IFERROR(__xludf.DUMMYFUNCTION("""COMPUTED_VALUE"""),102)</f>
        <v>102</v>
      </c>
      <c r="D32" s="51">
        <f ca="1">IFERROR(__xludf.DUMMYFUNCTION("""COMPUTED_VALUE"""),206.88)</f>
        <v>206.88</v>
      </c>
      <c r="E32" s="51">
        <f ca="1">IFERROR(__xludf.DUMMYFUNCTION("""COMPUTED_VALUE"""),544.57)</f>
        <v>544.57000000000005</v>
      </c>
      <c r="F32" s="51">
        <f ca="1">IFERROR(__xludf.DUMMYFUNCTION("""COMPUTED_VALUE"""),0)</f>
        <v>0</v>
      </c>
      <c r="G32" s="51">
        <f ca="1">IFERROR(__xludf.DUMMYFUNCTION("""COMPUTED_VALUE"""),0)</f>
        <v>0</v>
      </c>
      <c r="H32" s="51">
        <f ca="1">IFERROR(__xludf.DUMMYFUNCTION("""COMPUTED_VALUE"""),0)</f>
        <v>0</v>
      </c>
      <c r="I32" s="51">
        <f ca="1">IFERROR(__xludf.DUMMYFUNCTION("""COMPUTED_VALUE"""),0)</f>
        <v>0</v>
      </c>
      <c r="J32" s="52">
        <f ca="1">IFERROR(__xludf.DUMMYFUNCTION("""COMPUTED_VALUE"""),0)</f>
        <v>0</v>
      </c>
      <c r="K32" s="48"/>
    </row>
    <row r="33" spans="1:11" x14ac:dyDescent="0.25">
      <c r="A33" s="50">
        <f ca="1">IFERROR(__xludf.DUMMYFUNCTION("""COMPUTED_VALUE"""),46007)</f>
        <v>46007</v>
      </c>
      <c r="B33" s="51">
        <f ca="1">IFERROR(__xludf.DUMMYFUNCTION("""COMPUTED_VALUE"""),5320.14)</f>
        <v>5320.14</v>
      </c>
      <c r="C33" s="51">
        <f ca="1">IFERROR(__xludf.DUMMYFUNCTION("""COMPUTED_VALUE"""),77)</f>
        <v>77</v>
      </c>
      <c r="D33" s="51">
        <f ca="1">IFERROR(__xludf.DUMMYFUNCTION("""COMPUTED_VALUE"""),202.16)</f>
        <v>202.16</v>
      </c>
      <c r="E33" s="51">
        <f ca="1">IFERROR(__xludf.DUMMYFUNCTION("""COMPUTED_VALUE"""),532.03)</f>
        <v>532.03</v>
      </c>
      <c r="F33" s="51">
        <f ca="1">IFERROR(__xludf.DUMMYFUNCTION("""COMPUTED_VALUE"""),0)</f>
        <v>0</v>
      </c>
      <c r="G33" s="51">
        <f ca="1">IFERROR(__xludf.DUMMYFUNCTION("""COMPUTED_VALUE"""),0)</f>
        <v>0</v>
      </c>
      <c r="H33" s="51">
        <f ca="1">IFERROR(__xludf.DUMMYFUNCTION("""COMPUTED_VALUE"""),0)</f>
        <v>0</v>
      </c>
      <c r="I33" s="51">
        <f ca="1">IFERROR(__xludf.DUMMYFUNCTION("""COMPUTED_VALUE"""),0)</f>
        <v>0</v>
      </c>
      <c r="J33" s="52">
        <f ca="1">IFERROR(__xludf.DUMMYFUNCTION("""COMPUTED_VALUE"""),0)</f>
        <v>0</v>
      </c>
      <c r="K33" s="48"/>
    </row>
    <row r="34" spans="1:11" x14ac:dyDescent="0.25">
      <c r="A34" s="50">
        <f ca="1">IFERROR(__xludf.DUMMYFUNCTION("""COMPUTED_VALUE"""),46008)</f>
        <v>46008</v>
      </c>
      <c r="B34" s="51">
        <f ca="1">IFERROR(__xludf.DUMMYFUNCTION("""COMPUTED_VALUE"""),5094.31)</f>
        <v>5094.3100000000004</v>
      </c>
      <c r="C34" s="51">
        <f ca="1">IFERROR(__xludf.DUMMYFUNCTION("""COMPUTED_VALUE"""),73)</f>
        <v>73</v>
      </c>
      <c r="D34" s="51">
        <f ca="1">IFERROR(__xludf.DUMMYFUNCTION("""COMPUTED_VALUE"""),193.58)</f>
        <v>193.58</v>
      </c>
      <c r="E34" s="51">
        <f ca="1">IFERROR(__xludf.DUMMYFUNCTION("""COMPUTED_VALUE"""),509.43)</f>
        <v>509.43</v>
      </c>
      <c r="F34" s="51">
        <f ca="1">IFERROR(__xludf.DUMMYFUNCTION("""COMPUTED_VALUE"""),0)</f>
        <v>0</v>
      </c>
      <c r="G34" s="51">
        <f ca="1">IFERROR(__xludf.DUMMYFUNCTION("""COMPUTED_VALUE"""),0)</f>
        <v>0</v>
      </c>
      <c r="H34" s="51">
        <f ca="1">IFERROR(__xludf.DUMMYFUNCTION("""COMPUTED_VALUE"""),0)</f>
        <v>0</v>
      </c>
      <c r="I34" s="51">
        <f ca="1">IFERROR(__xludf.DUMMYFUNCTION("""COMPUTED_VALUE"""),0)</f>
        <v>0</v>
      </c>
      <c r="J34" s="52">
        <f ca="1">IFERROR(__xludf.DUMMYFUNCTION("""COMPUTED_VALUE"""),0)</f>
        <v>0</v>
      </c>
      <c r="K34" s="48"/>
    </row>
    <row r="35" spans="1:11" x14ac:dyDescent="0.25">
      <c r="A35" s="50">
        <f ca="1">IFERROR(__xludf.DUMMYFUNCTION("""COMPUTED_VALUE"""),46009)</f>
        <v>46009</v>
      </c>
      <c r="B35" s="51">
        <f ca="1">IFERROR(__xludf.DUMMYFUNCTION("""COMPUTED_VALUE"""),6735.5)</f>
        <v>6735.5</v>
      </c>
      <c r="C35" s="51">
        <f ca="1">IFERROR(__xludf.DUMMYFUNCTION("""COMPUTED_VALUE"""),91)</f>
        <v>91</v>
      </c>
      <c r="D35" s="51">
        <f ca="1">IFERROR(__xludf.DUMMYFUNCTION("""COMPUTED_VALUE"""),255.98)</f>
        <v>255.98</v>
      </c>
      <c r="E35" s="51">
        <f ca="1">IFERROR(__xludf.DUMMYFUNCTION("""COMPUTED_VALUE"""),673.55)</f>
        <v>673.55</v>
      </c>
      <c r="F35" s="51">
        <f ca="1">IFERROR(__xludf.DUMMYFUNCTION("""COMPUTED_VALUE"""),0)</f>
        <v>0</v>
      </c>
      <c r="G35" s="51">
        <f ca="1">IFERROR(__xludf.DUMMYFUNCTION("""COMPUTED_VALUE"""),0)</f>
        <v>0</v>
      </c>
      <c r="H35" s="51">
        <f ca="1">IFERROR(__xludf.DUMMYFUNCTION("""COMPUTED_VALUE"""),0)</f>
        <v>0</v>
      </c>
      <c r="I35" s="51">
        <f ca="1">IFERROR(__xludf.DUMMYFUNCTION("""COMPUTED_VALUE"""),0)</f>
        <v>0</v>
      </c>
      <c r="J35" s="52">
        <f ca="1">IFERROR(__xludf.DUMMYFUNCTION("""COMPUTED_VALUE"""),0)</f>
        <v>0</v>
      </c>
      <c r="K35" s="48"/>
    </row>
    <row r="36" spans="1:11" x14ac:dyDescent="0.25">
      <c r="A36" s="50">
        <f ca="1">IFERROR(__xludf.DUMMYFUNCTION("""COMPUTED_VALUE"""),46010)</f>
        <v>46010</v>
      </c>
      <c r="B36" s="51">
        <f ca="1">IFERROR(__xludf.DUMMYFUNCTION("""COMPUTED_VALUE"""),11006.88)</f>
        <v>11006.88</v>
      </c>
      <c r="C36" s="51">
        <f ca="1">IFERROR(__xludf.DUMMYFUNCTION("""COMPUTED_VALUE"""),109)</f>
        <v>109</v>
      </c>
      <c r="D36" s="51">
        <f ca="1">IFERROR(__xludf.DUMMYFUNCTION("""COMPUTED_VALUE"""),418.26)</f>
        <v>418.26</v>
      </c>
      <c r="E36" s="51">
        <f ca="1">IFERROR(__xludf.DUMMYFUNCTION("""COMPUTED_VALUE"""),1100.7)</f>
        <v>1100.7</v>
      </c>
      <c r="F36" s="51">
        <f ca="1">IFERROR(__xludf.DUMMYFUNCTION("""COMPUTED_VALUE"""),0)</f>
        <v>0</v>
      </c>
      <c r="G36" s="51">
        <f ca="1">IFERROR(__xludf.DUMMYFUNCTION("""COMPUTED_VALUE"""),0)</f>
        <v>0</v>
      </c>
      <c r="H36" s="51">
        <f ca="1">IFERROR(__xludf.DUMMYFUNCTION("""COMPUTED_VALUE"""),0)</f>
        <v>0</v>
      </c>
      <c r="I36" s="51">
        <f ca="1">IFERROR(__xludf.DUMMYFUNCTION("""COMPUTED_VALUE"""),0)</f>
        <v>0</v>
      </c>
      <c r="J36" s="52">
        <f ca="1">IFERROR(__xludf.DUMMYFUNCTION("""COMPUTED_VALUE"""),0)</f>
        <v>0</v>
      </c>
      <c r="K36" s="48"/>
    </row>
    <row r="37" spans="1:11" x14ac:dyDescent="0.25">
      <c r="A37" s="50">
        <f ca="1">IFERROR(__xludf.DUMMYFUNCTION("""COMPUTED_VALUE"""),46011)</f>
        <v>46011</v>
      </c>
      <c r="B37" s="51">
        <f ca="1">IFERROR(__xludf.DUMMYFUNCTION("""COMPUTED_VALUE"""),6655)</f>
        <v>6655</v>
      </c>
      <c r="C37" s="51">
        <f ca="1">IFERROR(__xludf.DUMMYFUNCTION("""COMPUTED_VALUE"""),93)</f>
        <v>93</v>
      </c>
      <c r="D37" s="51">
        <f ca="1">IFERROR(__xludf.DUMMYFUNCTION("""COMPUTED_VALUE"""),252.88)</f>
        <v>252.88</v>
      </c>
      <c r="E37" s="51">
        <f ca="1">IFERROR(__xludf.DUMMYFUNCTION("""COMPUTED_VALUE"""),665.5)</f>
        <v>665.5</v>
      </c>
      <c r="F37" s="51">
        <f ca="1">IFERROR(__xludf.DUMMYFUNCTION("""COMPUTED_VALUE"""),0)</f>
        <v>0</v>
      </c>
      <c r="G37" s="51">
        <f ca="1">IFERROR(__xludf.DUMMYFUNCTION("""COMPUTED_VALUE"""),0)</f>
        <v>0</v>
      </c>
      <c r="H37" s="51">
        <f ca="1">IFERROR(__xludf.DUMMYFUNCTION("""COMPUTED_VALUE"""),0)</f>
        <v>0</v>
      </c>
      <c r="I37" s="51">
        <f ca="1">IFERROR(__xludf.DUMMYFUNCTION("""COMPUTED_VALUE"""),0)</f>
        <v>0</v>
      </c>
      <c r="J37" s="52">
        <f ca="1">IFERROR(__xludf.DUMMYFUNCTION("""COMPUTED_VALUE"""),0)</f>
        <v>0</v>
      </c>
      <c r="K37" s="48"/>
    </row>
    <row r="38" spans="1:11" x14ac:dyDescent="0.25">
      <c r="A38" s="50">
        <f ca="1">IFERROR(__xludf.DUMMYFUNCTION("""COMPUTED_VALUE"""),46012)</f>
        <v>46012</v>
      </c>
      <c r="B38" s="51">
        <f ca="1">IFERROR(__xludf.DUMMYFUNCTION("""COMPUTED_VALUE"""),4681.16)</f>
        <v>4681.16</v>
      </c>
      <c r="C38" s="51">
        <f ca="1">IFERROR(__xludf.DUMMYFUNCTION("""COMPUTED_VALUE"""),88)</f>
        <v>88</v>
      </c>
      <c r="D38" s="51">
        <f ca="1">IFERROR(__xludf.DUMMYFUNCTION("""COMPUTED_VALUE"""),177.9)</f>
        <v>177.9</v>
      </c>
      <c r="E38" s="51">
        <f ca="1">IFERROR(__xludf.DUMMYFUNCTION("""COMPUTED_VALUE"""),468.13)</f>
        <v>468.13</v>
      </c>
      <c r="F38" s="51">
        <f ca="1">IFERROR(__xludf.DUMMYFUNCTION("""COMPUTED_VALUE"""),0)</f>
        <v>0</v>
      </c>
      <c r="G38" s="51">
        <f ca="1">IFERROR(__xludf.DUMMYFUNCTION("""COMPUTED_VALUE"""),0)</f>
        <v>0</v>
      </c>
      <c r="H38" s="51">
        <f ca="1">IFERROR(__xludf.DUMMYFUNCTION("""COMPUTED_VALUE"""),0)</f>
        <v>0</v>
      </c>
      <c r="I38" s="51">
        <f ca="1">IFERROR(__xludf.DUMMYFUNCTION("""COMPUTED_VALUE"""),0)</f>
        <v>0</v>
      </c>
      <c r="J38" s="52">
        <f ca="1">IFERROR(__xludf.DUMMYFUNCTION("""COMPUTED_VALUE"""),0)</f>
        <v>0</v>
      </c>
      <c r="K38" s="48"/>
    </row>
    <row r="39" spans="1:11" x14ac:dyDescent="0.25">
      <c r="A39" s="50">
        <f ca="1">IFERROR(__xludf.DUMMYFUNCTION("""COMPUTED_VALUE"""),46013)</f>
        <v>46013</v>
      </c>
      <c r="B39" s="51">
        <f ca="1">IFERROR(__xludf.DUMMYFUNCTION("""COMPUTED_VALUE"""),8090.19)</f>
        <v>8090.19</v>
      </c>
      <c r="C39" s="51">
        <f ca="1">IFERROR(__xludf.DUMMYFUNCTION("""COMPUTED_VALUE"""),106)</f>
        <v>106</v>
      </c>
      <c r="D39" s="51">
        <f ca="1">IFERROR(__xludf.DUMMYFUNCTION("""COMPUTED_VALUE"""),307.46)</f>
        <v>307.45999999999998</v>
      </c>
      <c r="E39" s="51">
        <f ca="1">IFERROR(__xludf.DUMMYFUNCTION("""COMPUTED_VALUE"""),809.02)</f>
        <v>809.02</v>
      </c>
      <c r="F39" s="51">
        <f ca="1">IFERROR(__xludf.DUMMYFUNCTION("""COMPUTED_VALUE"""),0)</f>
        <v>0</v>
      </c>
      <c r="G39" s="51">
        <f ca="1">IFERROR(__xludf.DUMMYFUNCTION("""COMPUTED_VALUE"""),0)</f>
        <v>0</v>
      </c>
      <c r="H39" s="51">
        <f ca="1">IFERROR(__xludf.DUMMYFUNCTION("""COMPUTED_VALUE"""),0)</f>
        <v>0</v>
      </c>
      <c r="I39" s="51">
        <f ca="1">IFERROR(__xludf.DUMMYFUNCTION("""COMPUTED_VALUE"""),0)</f>
        <v>0</v>
      </c>
      <c r="J39" s="52">
        <f ca="1">IFERROR(__xludf.DUMMYFUNCTION("""COMPUTED_VALUE"""),0)</f>
        <v>0</v>
      </c>
      <c r="K39" s="48"/>
    </row>
    <row r="40" spans="1:11" x14ac:dyDescent="0.25">
      <c r="A40" s="50">
        <f ca="1">IFERROR(__xludf.DUMMYFUNCTION("""COMPUTED_VALUE"""),46014)</f>
        <v>46014</v>
      </c>
      <c r="B40" s="51">
        <f ca="1">IFERROR(__xludf.DUMMYFUNCTION("""COMPUTED_VALUE"""),10185.45)</f>
        <v>10185.450000000001</v>
      </c>
      <c r="C40" s="51">
        <f ca="1">IFERROR(__xludf.DUMMYFUNCTION("""COMPUTED_VALUE"""),100)</f>
        <v>100</v>
      </c>
      <c r="D40" s="51">
        <f ca="1">IFERROR(__xludf.DUMMYFUNCTION("""COMPUTED_VALUE"""),387.02)</f>
        <v>387.02</v>
      </c>
      <c r="E40" s="51">
        <f ca="1">IFERROR(__xludf.DUMMYFUNCTION("""COMPUTED_VALUE"""),1018.57)</f>
        <v>1018.57</v>
      </c>
      <c r="F40" s="51">
        <f ca="1">IFERROR(__xludf.DUMMYFUNCTION("""COMPUTED_VALUE"""),0)</f>
        <v>0</v>
      </c>
      <c r="G40" s="51">
        <f ca="1">IFERROR(__xludf.DUMMYFUNCTION("""COMPUTED_VALUE"""),0)</f>
        <v>0</v>
      </c>
      <c r="H40" s="51">
        <f ca="1">IFERROR(__xludf.DUMMYFUNCTION("""COMPUTED_VALUE"""),0)</f>
        <v>0</v>
      </c>
      <c r="I40" s="51">
        <f ca="1">IFERROR(__xludf.DUMMYFUNCTION("""COMPUTED_VALUE"""),0)</f>
        <v>0</v>
      </c>
      <c r="J40" s="52">
        <f ca="1">IFERROR(__xludf.DUMMYFUNCTION("""COMPUTED_VALUE"""),0)</f>
        <v>0</v>
      </c>
      <c r="K40" s="48"/>
    </row>
    <row r="41" spans="1:11" x14ac:dyDescent="0.25">
      <c r="A41" s="50">
        <f ca="1">IFERROR(__xludf.DUMMYFUNCTION("""COMPUTED_VALUE"""),46015)</f>
        <v>46015</v>
      </c>
      <c r="B41" s="51">
        <f ca="1">IFERROR(__xludf.DUMMYFUNCTION("""COMPUTED_VALUE"""),5721.08)</f>
        <v>5721.08</v>
      </c>
      <c r="C41" s="51">
        <f ca="1">IFERROR(__xludf.DUMMYFUNCTION("""COMPUTED_VALUE"""),86)</f>
        <v>86</v>
      </c>
      <c r="D41" s="51">
        <f ca="1">IFERROR(__xludf.DUMMYFUNCTION("""COMPUTED_VALUE"""),217.39)</f>
        <v>217.39</v>
      </c>
      <c r="E41" s="51">
        <f ca="1">IFERROR(__xludf.DUMMYFUNCTION("""COMPUTED_VALUE"""),572.12)</f>
        <v>572.12</v>
      </c>
      <c r="F41" s="51">
        <f ca="1">IFERROR(__xludf.DUMMYFUNCTION("""COMPUTED_VALUE"""),0)</f>
        <v>0</v>
      </c>
      <c r="G41" s="51">
        <f ca="1">IFERROR(__xludf.DUMMYFUNCTION("""COMPUTED_VALUE"""),0)</f>
        <v>0</v>
      </c>
      <c r="H41" s="51">
        <f ca="1">IFERROR(__xludf.DUMMYFUNCTION("""COMPUTED_VALUE"""),0)</f>
        <v>0</v>
      </c>
      <c r="I41" s="51">
        <f ca="1">IFERROR(__xludf.DUMMYFUNCTION("""COMPUTED_VALUE"""),0)</f>
        <v>0</v>
      </c>
      <c r="J41" s="52">
        <f ca="1">IFERROR(__xludf.DUMMYFUNCTION("""COMPUTED_VALUE"""),0)</f>
        <v>0</v>
      </c>
      <c r="K41" s="48"/>
    </row>
    <row r="42" spans="1:11" x14ac:dyDescent="0.25">
      <c r="A42" s="50">
        <f ca="1">IFERROR(__xludf.DUMMYFUNCTION("""COMPUTED_VALUE"""),46016)</f>
        <v>46016</v>
      </c>
      <c r="B42" s="51">
        <f ca="1">IFERROR(__xludf.DUMMYFUNCTION("""COMPUTED_VALUE"""),6215.03)</f>
        <v>6215.03</v>
      </c>
      <c r="C42" s="51">
        <f ca="1">IFERROR(__xludf.DUMMYFUNCTION("""COMPUTED_VALUE"""),83)</f>
        <v>83</v>
      </c>
      <c r="D42" s="51">
        <f ca="1">IFERROR(__xludf.DUMMYFUNCTION("""COMPUTED_VALUE"""),236.15)</f>
        <v>236.15</v>
      </c>
      <c r="E42" s="51">
        <f ca="1">IFERROR(__xludf.DUMMYFUNCTION("""COMPUTED_VALUE"""),621.53)</f>
        <v>621.53</v>
      </c>
      <c r="F42" s="51">
        <f ca="1">IFERROR(__xludf.DUMMYFUNCTION("""COMPUTED_VALUE"""),0)</f>
        <v>0</v>
      </c>
      <c r="G42" s="51">
        <f ca="1">IFERROR(__xludf.DUMMYFUNCTION("""COMPUTED_VALUE"""),0)</f>
        <v>0</v>
      </c>
      <c r="H42" s="51">
        <f ca="1">IFERROR(__xludf.DUMMYFUNCTION("""COMPUTED_VALUE"""),0)</f>
        <v>0</v>
      </c>
      <c r="I42" s="51">
        <f ca="1">IFERROR(__xludf.DUMMYFUNCTION("""COMPUTED_VALUE"""),0)</f>
        <v>0</v>
      </c>
      <c r="J42" s="52">
        <f ca="1">IFERROR(__xludf.DUMMYFUNCTION("""COMPUTED_VALUE"""),0)</f>
        <v>0</v>
      </c>
      <c r="K42" s="48"/>
    </row>
    <row r="43" spans="1:11" x14ac:dyDescent="0.25">
      <c r="A43" s="50"/>
      <c r="B43" s="51"/>
      <c r="C43" s="51"/>
      <c r="D43" s="51"/>
      <c r="E43" s="51"/>
      <c r="F43" s="51"/>
      <c r="G43" s="51"/>
      <c r="H43" s="51"/>
      <c r="I43" s="51"/>
      <c r="J43" s="52"/>
      <c r="K43" s="48"/>
    </row>
    <row r="44" spans="1:11" x14ac:dyDescent="0.25">
      <c r="A44" s="50"/>
      <c r="B44" s="51"/>
      <c r="C44" s="51"/>
      <c r="D44" s="51"/>
      <c r="E44" s="51"/>
      <c r="F44" s="51"/>
      <c r="G44" s="51"/>
      <c r="H44" s="51"/>
      <c r="I44" s="51"/>
      <c r="J44" s="52"/>
      <c r="K44" s="48"/>
    </row>
    <row r="45" spans="1:11" x14ac:dyDescent="0.25">
      <c r="A45" s="50"/>
      <c r="B45" s="51"/>
      <c r="C45" s="51"/>
      <c r="D45" s="51"/>
      <c r="E45" s="51"/>
      <c r="F45" s="51"/>
      <c r="G45" s="51"/>
      <c r="H45" s="51"/>
      <c r="I45" s="51"/>
      <c r="J45" s="52"/>
      <c r="K45" s="48"/>
    </row>
    <row r="46" spans="1:11" x14ac:dyDescent="0.25">
      <c r="A46" s="50"/>
      <c r="B46" s="51"/>
      <c r="C46" s="51"/>
      <c r="D46" s="51"/>
      <c r="E46" s="51"/>
      <c r="F46" s="51"/>
      <c r="G46" s="51"/>
      <c r="H46" s="51"/>
      <c r="I46" s="51"/>
      <c r="J46" s="52"/>
      <c r="K46" s="48"/>
    </row>
    <row r="47" spans="1:11" x14ac:dyDescent="0.25">
      <c r="A47" s="50"/>
      <c r="B47" s="51"/>
      <c r="C47" s="51"/>
      <c r="D47" s="51"/>
      <c r="E47" s="51"/>
      <c r="F47" s="51"/>
      <c r="G47" s="51"/>
      <c r="H47" s="51"/>
      <c r="I47" s="51"/>
      <c r="J47" s="52"/>
      <c r="K47" s="48"/>
    </row>
    <row r="48" spans="1:11" x14ac:dyDescent="0.25">
      <c r="A48" s="50"/>
      <c r="B48" s="51"/>
      <c r="C48" s="51"/>
      <c r="D48" s="51"/>
      <c r="E48" s="51"/>
      <c r="F48" s="51"/>
      <c r="G48" s="51"/>
      <c r="H48" s="51"/>
      <c r="I48" s="51"/>
      <c r="J48" s="52"/>
      <c r="K48" s="48"/>
    </row>
    <row r="49" spans="1:11" x14ac:dyDescent="0.25">
      <c r="A49" s="50"/>
      <c r="B49" s="51"/>
      <c r="C49" s="51"/>
      <c r="D49" s="51"/>
      <c r="E49" s="51"/>
      <c r="F49" s="51"/>
      <c r="G49" s="51"/>
      <c r="H49" s="51"/>
      <c r="I49" s="51"/>
      <c r="J49" s="52"/>
      <c r="K49" s="48"/>
    </row>
    <row r="50" spans="1:11" x14ac:dyDescent="0.25">
      <c r="A50" s="50"/>
      <c r="B50" s="51"/>
      <c r="C50" s="51"/>
      <c r="D50" s="51"/>
      <c r="E50" s="51"/>
      <c r="F50" s="51"/>
      <c r="G50" s="51"/>
      <c r="H50" s="51"/>
      <c r="I50" s="51"/>
      <c r="J50" s="52"/>
      <c r="K50" s="48"/>
    </row>
    <row r="51" spans="1:11" x14ac:dyDescent="0.25">
      <c r="A51" s="50"/>
      <c r="B51" s="51"/>
      <c r="C51" s="51"/>
      <c r="D51" s="51"/>
      <c r="E51" s="51"/>
      <c r="F51" s="51"/>
      <c r="G51" s="51"/>
      <c r="H51" s="51"/>
      <c r="I51" s="51"/>
      <c r="J51" s="52"/>
      <c r="K51" s="48"/>
    </row>
    <row r="52" spans="1:11" x14ac:dyDescent="0.25">
      <c r="A52" s="50"/>
      <c r="B52" s="51"/>
      <c r="C52" s="51"/>
      <c r="D52" s="51"/>
      <c r="E52" s="51"/>
      <c r="F52" s="51"/>
      <c r="G52" s="51"/>
      <c r="H52" s="51"/>
      <c r="I52" s="51"/>
      <c r="J52" s="52"/>
      <c r="K52" s="48"/>
    </row>
    <row r="53" spans="1:11" x14ac:dyDescent="0.25">
      <c r="A53" s="50"/>
      <c r="B53" s="51"/>
      <c r="C53" s="51"/>
      <c r="D53" s="51"/>
      <c r="E53" s="51"/>
      <c r="F53" s="51"/>
      <c r="G53" s="51"/>
      <c r="H53" s="51"/>
      <c r="I53" s="51"/>
      <c r="J53" s="52"/>
      <c r="K53" s="48"/>
    </row>
    <row r="54" spans="1:11" x14ac:dyDescent="0.25">
      <c r="A54" s="50"/>
      <c r="B54" s="51"/>
      <c r="C54" s="51"/>
      <c r="D54" s="51"/>
      <c r="E54" s="51"/>
      <c r="F54" s="51"/>
      <c r="G54" s="51"/>
      <c r="H54" s="51"/>
      <c r="I54" s="51"/>
      <c r="J54" s="52"/>
      <c r="K54" s="48"/>
    </row>
    <row r="55" spans="1:11" x14ac:dyDescent="0.25">
      <c r="A55" s="50"/>
      <c r="B55" s="51"/>
      <c r="C55" s="51"/>
      <c r="D55" s="51"/>
      <c r="E55" s="51"/>
      <c r="F55" s="51"/>
      <c r="G55" s="51"/>
      <c r="H55" s="51"/>
      <c r="I55" s="51"/>
      <c r="J55" s="52"/>
      <c r="K55" s="48"/>
    </row>
    <row r="56" spans="1:11" x14ac:dyDescent="0.25">
      <c r="A56" s="50"/>
      <c r="B56" s="51"/>
      <c r="C56" s="51"/>
      <c r="D56" s="51"/>
      <c r="E56" s="51"/>
      <c r="F56" s="51"/>
      <c r="G56" s="51"/>
      <c r="H56" s="51"/>
      <c r="I56" s="51"/>
      <c r="J56" s="52"/>
      <c r="K56" s="48"/>
    </row>
    <row r="57" spans="1:11" x14ac:dyDescent="0.25">
      <c r="A57" s="50"/>
      <c r="B57" s="51"/>
      <c r="C57" s="51"/>
      <c r="D57" s="51"/>
      <c r="E57" s="51"/>
      <c r="F57" s="51"/>
      <c r="G57" s="51"/>
      <c r="H57" s="51"/>
      <c r="I57" s="51"/>
      <c r="J57" s="52"/>
      <c r="K57" s="48"/>
    </row>
    <row r="58" spans="1:11" x14ac:dyDescent="0.25">
      <c r="A58" s="50"/>
      <c r="B58" s="51"/>
      <c r="C58" s="51"/>
      <c r="D58" s="51"/>
      <c r="E58" s="51"/>
      <c r="F58" s="51"/>
      <c r="G58" s="51"/>
      <c r="H58" s="51"/>
      <c r="I58" s="51"/>
      <c r="J58" s="52"/>
      <c r="K58" s="48"/>
    </row>
    <row r="59" spans="1:11" x14ac:dyDescent="0.25">
      <c r="A59" s="50"/>
      <c r="B59" s="51"/>
      <c r="C59" s="51"/>
      <c r="D59" s="51"/>
      <c r="E59" s="51"/>
      <c r="F59" s="51"/>
      <c r="G59" s="51"/>
      <c r="H59" s="51"/>
      <c r="I59" s="51"/>
      <c r="J59" s="52"/>
      <c r="K59" s="48"/>
    </row>
    <row r="60" spans="1:11" x14ac:dyDescent="0.25">
      <c r="A60" s="50"/>
      <c r="B60" s="51"/>
      <c r="C60" s="51"/>
      <c r="D60" s="51"/>
      <c r="E60" s="51"/>
      <c r="F60" s="51"/>
      <c r="G60" s="51"/>
      <c r="H60" s="51"/>
      <c r="I60" s="51"/>
      <c r="J60" s="52"/>
      <c r="K60" s="48"/>
    </row>
    <row r="61" spans="1:11" x14ac:dyDescent="0.25">
      <c r="A61" s="50"/>
      <c r="B61" s="51"/>
      <c r="C61" s="51"/>
      <c r="D61" s="51"/>
      <c r="E61" s="51"/>
      <c r="F61" s="51"/>
      <c r="G61" s="51"/>
      <c r="H61" s="51"/>
      <c r="I61" s="51"/>
      <c r="J61" s="52"/>
      <c r="K61" s="48"/>
    </row>
    <row r="62" spans="1:11" x14ac:dyDescent="0.25">
      <c r="A62" s="50"/>
      <c r="B62" s="51"/>
      <c r="C62" s="51"/>
      <c r="D62" s="51"/>
      <c r="E62" s="51"/>
      <c r="F62" s="51"/>
      <c r="G62" s="51"/>
      <c r="H62" s="51"/>
      <c r="I62" s="51"/>
      <c r="J62" s="52"/>
      <c r="K62" s="48"/>
    </row>
    <row r="63" spans="1:11" x14ac:dyDescent="0.25">
      <c r="A63" s="50"/>
      <c r="B63" s="51"/>
      <c r="C63" s="51"/>
      <c r="D63" s="51"/>
      <c r="E63" s="51"/>
      <c r="F63" s="51"/>
      <c r="G63" s="51"/>
      <c r="H63" s="51"/>
      <c r="I63" s="51"/>
      <c r="J63" s="52"/>
      <c r="K63" s="48"/>
    </row>
    <row r="64" spans="1:11" x14ac:dyDescent="0.25">
      <c r="A64" s="50"/>
      <c r="B64" s="51"/>
      <c r="C64" s="51"/>
      <c r="D64" s="51"/>
      <c r="E64" s="51"/>
      <c r="F64" s="51"/>
      <c r="G64" s="51"/>
      <c r="H64" s="51"/>
      <c r="I64" s="51"/>
      <c r="J64" s="52"/>
      <c r="K64" s="48"/>
    </row>
    <row r="65" spans="1:11" x14ac:dyDescent="0.25">
      <c r="A65" s="50"/>
      <c r="B65" s="51"/>
      <c r="C65" s="51"/>
      <c r="D65" s="51"/>
      <c r="E65" s="51"/>
      <c r="F65" s="51"/>
      <c r="G65" s="51"/>
      <c r="H65" s="51"/>
      <c r="I65" s="51"/>
      <c r="J65" s="52"/>
      <c r="K65" s="48"/>
    </row>
    <row r="66" spans="1:11" x14ac:dyDescent="0.25">
      <c r="A66" s="50"/>
      <c r="B66" s="51"/>
      <c r="C66" s="51"/>
      <c r="D66" s="51"/>
      <c r="E66" s="51"/>
      <c r="F66" s="51"/>
      <c r="G66" s="51"/>
      <c r="H66" s="51"/>
      <c r="I66" s="51"/>
      <c r="J66" s="52"/>
      <c r="K66" s="48"/>
    </row>
    <row r="67" spans="1:11" x14ac:dyDescent="0.25">
      <c r="A67" s="50"/>
      <c r="B67" s="51"/>
      <c r="C67" s="51"/>
      <c r="D67" s="51"/>
      <c r="E67" s="51"/>
      <c r="F67" s="51"/>
      <c r="G67" s="51"/>
      <c r="H67" s="51"/>
      <c r="I67" s="51"/>
      <c r="J67" s="52"/>
      <c r="K67" s="48"/>
    </row>
    <row r="68" spans="1:11" x14ac:dyDescent="0.25">
      <c r="A68" s="50"/>
      <c r="B68" s="51"/>
      <c r="C68" s="51"/>
      <c r="D68" s="51"/>
      <c r="E68" s="51"/>
      <c r="F68" s="51"/>
      <c r="G68" s="51"/>
      <c r="H68" s="51"/>
      <c r="I68" s="51"/>
      <c r="J68" s="52"/>
      <c r="K68" s="48"/>
    </row>
    <row r="69" spans="1:11" x14ac:dyDescent="0.25">
      <c r="A69" s="50"/>
      <c r="B69" s="51"/>
      <c r="C69" s="51"/>
      <c r="D69" s="51"/>
      <c r="E69" s="51"/>
      <c r="F69" s="51"/>
      <c r="G69" s="51"/>
      <c r="H69" s="51"/>
      <c r="I69" s="51"/>
      <c r="J69" s="52"/>
      <c r="K69" s="48"/>
    </row>
    <row r="70" spans="1:11" x14ac:dyDescent="0.25">
      <c r="A70" s="50"/>
      <c r="B70" s="51"/>
      <c r="C70" s="51"/>
      <c r="D70" s="51"/>
      <c r="E70" s="51"/>
      <c r="F70" s="51"/>
      <c r="G70" s="51"/>
      <c r="H70" s="51"/>
      <c r="I70" s="51"/>
      <c r="J70" s="52"/>
      <c r="K70" s="48"/>
    </row>
    <row r="71" spans="1:11" x14ac:dyDescent="0.25">
      <c r="A71" s="50"/>
      <c r="B71" s="51"/>
      <c r="C71" s="51"/>
      <c r="D71" s="51"/>
      <c r="E71" s="51"/>
      <c r="F71" s="51"/>
      <c r="G71" s="51"/>
      <c r="H71" s="51"/>
      <c r="I71" s="51"/>
      <c r="J71" s="52"/>
      <c r="K71" s="48"/>
    </row>
    <row r="72" spans="1:11" x14ac:dyDescent="0.25">
      <c r="A72" s="50"/>
      <c r="B72" s="51"/>
      <c r="C72" s="51"/>
      <c r="D72" s="51"/>
      <c r="E72" s="51"/>
      <c r="F72" s="51"/>
      <c r="G72" s="51"/>
      <c r="H72" s="51"/>
      <c r="I72" s="51"/>
      <c r="J72" s="52"/>
      <c r="K72" s="48"/>
    </row>
    <row r="73" spans="1:11" x14ac:dyDescent="0.25">
      <c r="A73" s="50"/>
      <c r="B73" s="51"/>
      <c r="C73" s="51"/>
      <c r="D73" s="51"/>
      <c r="E73" s="51"/>
      <c r="F73" s="51"/>
      <c r="G73" s="51"/>
      <c r="H73" s="51"/>
      <c r="I73" s="51"/>
      <c r="J73" s="52"/>
      <c r="K73" s="48"/>
    </row>
    <row r="74" spans="1:11" x14ac:dyDescent="0.25">
      <c r="A74" s="50"/>
      <c r="B74" s="51"/>
      <c r="C74" s="51"/>
      <c r="D74" s="51"/>
      <c r="E74" s="51"/>
      <c r="F74" s="51"/>
      <c r="G74" s="51"/>
      <c r="H74" s="51"/>
      <c r="I74" s="51"/>
      <c r="J74" s="52"/>
      <c r="K74" s="48"/>
    </row>
    <row r="75" spans="1:11" x14ac:dyDescent="0.25">
      <c r="A75" s="50"/>
      <c r="B75" s="51"/>
      <c r="C75" s="51"/>
      <c r="D75" s="51"/>
      <c r="E75" s="51"/>
      <c r="F75" s="51"/>
      <c r="G75" s="51"/>
      <c r="H75" s="51"/>
      <c r="I75" s="51"/>
      <c r="J75" s="52"/>
      <c r="K75" s="48"/>
    </row>
    <row r="76" spans="1:11" x14ac:dyDescent="0.25">
      <c r="A76" s="50"/>
      <c r="B76" s="51"/>
      <c r="C76" s="51"/>
      <c r="D76" s="51"/>
      <c r="E76" s="51"/>
      <c r="F76" s="51"/>
      <c r="G76" s="51"/>
      <c r="H76" s="51"/>
      <c r="I76" s="51"/>
      <c r="J76" s="52"/>
      <c r="K76" s="48"/>
    </row>
    <row r="77" spans="1:11" x14ac:dyDescent="0.25">
      <c r="A77" s="50"/>
      <c r="B77" s="51"/>
      <c r="C77" s="51"/>
      <c r="D77" s="51"/>
      <c r="E77" s="51"/>
      <c r="F77" s="51"/>
      <c r="G77" s="51"/>
      <c r="H77" s="51"/>
      <c r="I77" s="51"/>
      <c r="J77" s="52"/>
      <c r="K77" s="48"/>
    </row>
    <row r="78" spans="1:11" x14ac:dyDescent="0.25">
      <c r="A78" s="50"/>
      <c r="B78" s="51"/>
      <c r="C78" s="51"/>
      <c r="D78" s="51"/>
      <c r="E78" s="51"/>
      <c r="F78" s="51"/>
      <c r="G78" s="51"/>
      <c r="H78" s="51"/>
      <c r="I78" s="51"/>
      <c r="J78" s="52"/>
      <c r="K78" s="48"/>
    </row>
    <row r="79" spans="1:11" x14ac:dyDescent="0.25">
      <c r="A79" s="50"/>
      <c r="B79" s="51"/>
      <c r="C79" s="51"/>
      <c r="D79" s="51"/>
      <c r="E79" s="51"/>
      <c r="F79" s="51"/>
      <c r="G79" s="51"/>
      <c r="H79" s="51"/>
      <c r="I79" s="51"/>
      <c r="J79" s="52"/>
      <c r="K79" s="48"/>
    </row>
    <row r="80" spans="1:11" x14ac:dyDescent="0.25">
      <c r="A80" s="50"/>
      <c r="B80" s="51"/>
      <c r="C80" s="51"/>
      <c r="D80" s="51"/>
      <c r="E80" s="51"/>
      <c r="F80" s="51"/>
      <c r="G80" s="51"/>
      <c r="H80" s="51"/>
      <c r="I80" s="51"/>
      <c r="J80" s="52"/>
      <c r="K80" s="48"/>
    </row>
    <row r="81" spans="1:11" x14ac:dyDescent="0.25">
      <c r="A81" s="50"/>
      <c r="B81" s="51"/>
      <c r="C81" s="51"/>
      <c r="D81" s="51"/>
      <c r="E81" s="51"/>
      <c r="F81" s="51"/>
      <c r="G81" s="51"/>
      <c r="H81" s="51"/>
      <c r="I81" s="51"/>
      <c r="J81" s="52"/>
      <c r="K81" s="48"/>
    </row>
    <row r="82" spans="1:11" x14ac:dyDescent="0.25">
      <c r="A82" s="50"/>
      <c r="B82" s="51"/>
      <c r="C82" s="51"/>
      <c r="D82" s="51"/>
      <c r="E82" s="51"/>
      <c r="F82" s="51"/>
      <c r="G82" s="51"/>
      <c r="H82" s="51"/>
      <c r="I82" s="51"/>
      <c r="J82" s="52"/>
      <c r="K82" s="48"/>
    </row>
    <row r="83" spans="1:11" x14ac:dyDescent="0.25">
      <c r="A83" s="50"/>
      <c r="B83" s="51"/>
      <c r="C83" s="51"/>
      <c r="D83" s="51"/>
      <c r="E83" s="51"/>
      <c r="F83" s="51"/>
      <c r="G83" s="51"/>
      <c r="H83" s="51"/>
      <c r="I83" s="51"/>
      <c r="J83" s="52"/>
      <c r="K83" s="48"/>
    </row>
    <row r="84" spans="1:11" x14ac:dyDescent="0.25">
      <c r="A84" s="50"/>
      <c r="B84" s="51"/>
      <c r="C84" s="51"/>
      <c r="D84" s="51"/>
      <c r="E84" s="51"/>
      <c r="F84" s="51"/>
      <c r="G84" s="51"/>
      <c r="H84" s="51"/>
      <c r="I84" s="51"/>
      <c r="J84" s="52"/>
      <c r="K84" s="48"/>
    </row>
    <row r="85" spans="1:11" x14ac:dyDescent="0.25">
      <c r="A85" s="50"/>
      <c r="B85" s="51"/>
      <c r="C85" s="51"/>
      <c r="D85" s="51"/>
      <c r="E85" s="51"/>
      <c r="F85" s="51"/>
      <c r="G85" s="51"/>
      <c r="H85" s="51"/>
      <c r="I85" s="51"/>
      <c r="J85" s="52"/>
      <c r="K85" s="48"/>
    </row>
    <row r="86" spans="1:11" x14ac:dyDescent="0.25">
      <c r="A86" s="50"/>
      <c r="B86" s="51"/>
      <c r="C86" s="51"/>
      <c r="D86" s="51"/>
      <c r="E86" s="51"/>
      <c r="F86" s="51"/>
      <c r="G86" s="51"/>
      <c r="H86" s="51"/>
      <c r="I86" s="51"/>
      <c r="J86" s="52"/>
      <c r="K86" s="48"/>
    </row>
    <row r="87" spans="1:11" x14ac:dyDescent="0.25">
      <c r="A87" s="50"/>
      <c r="B87" s="51"/>
      <c r="C87" s="51"/>
      <c r="D87" s="51"/>
      <c r="E87" s="51"/>
      <c r="F87" s="51"/>
      <c r="G87" s="51"/>
      <c r="H87" s="51"/>
      <c r="I87" s="51"/>
      <c r="J87" s="52"/>
      <c r="K87" s="48"/>
    </row>
    <row r="88" spans="1:11" x14ac:dyDescent="0.25">
      <c r="A88" s="50"/>
      <c r="B88" s="51"/>
      <c r="C88" s="51"/>
      <c r="D88" s="51"/>
      <c r="E88" s="51"/>
      <c r="F88" s="51"/>
      <c r="G88" s="51"/>
      <c r="H88" s="51"/>
      <c r="I88" s="51"/>
      <c r="J88" s="52"/>
      <c r="K88" s="48"/>
    </row>
    <row r="89" spans="1:11" x14ac:dyDescent="0.25">
      <c r="A89" s="50"/>
      <c r="B89" s="51"/>
      <c r="C89" s="51"/>
      <c r="D89" s="51"/>
      <c r="E89" s="51"/>
      <c r="F89" s="51"/>
      <c r="G89" s="51"/>
      <c r="H89" s="51"/>
      <c r="I89" s="51"/>
      <c r="J89" s="52"/>
      <c r="K89" s="48"/>
    </row>
    <row r="90" spans="1:11" x14ac:dyDescent="0.25">
      <c r="A90" s="50"/>
      <c r="B90" s="51"/>
      <c r="C90" s="51"/>
      <c r="D90" s="51"/>
      <c r="E90" s="51"/>
      <c r="F90" s="51"/>
      <c r="G90" s="51"/>
      <c r="H90" s="51"/>
      <c r="I90" s="51"/>
      <c r="J90" s="52"/>
      <c r="K90" s="48"/>
    </row>
    <row r="91" spans="1:11" x14ac:dyDescent="0.25">
      <c r="A91" s="50"/>
      <c r="B91" s="51"/>
      <c r="C91" s="51"/>
      <c r="D91" s="51"/>
      <c r="E91" s="51"/>
      <c r="F91" s="51"/>
      <c r="G91" s="51"/>
      <c r="H91" s="51"/>
      <c r="I91" s="51"/>
      <c r="J91" s="52"/>
      <c r="K91" s="48"/>
    </row>
    <row r="92" spans="1:11" x14ac:dyDescent="0.25">
      <c r="A92" s="50"/>
      <c r="B92" s="51"/>
      <c r="C92" s="51"/>
      <c r="D92" s="51"/>
      <c r="E92" s="51"/>
      <c r="F92" s="51"/>
      <c r="G92" s="51"/>
      <c r="H92" s="51"/>
      <c r="I92" s="51"/>
      <c r="J92" s="52"/>
      <c r="K92" s="48"/>
    </row>
    <row r="93" spans="1:11" x14ac:dyDescent="0.25">
      <c r="A93" s="50"/>
      <c r="B93" s="51"/>
      <c r="C93" s="51"/>
      <c r="D93" s="51"/>
      <c r="E93" s="51"/>
      <c r="F93" s="51"/>
      <c r="G93" s="51"/>
      <c r="H93" s="51"/>
      <c r="I93" s="51"/>
      <c r="J93" s="52"/>
      <c r="K93" s="48"/>
    </row>
    <row r="94" spans="1:11" x14ac:dyDescent="0.25">
      <c r="A94" s="50"/>
      <c r="B94" s="51"/>
      <c r="C94" s="51"/>
      <c r="D94" s="51"/>
      <c r="E94" s="51"/>
      <c r="F94" s="51"/>
      <c r="G94" s="51"/>
      <c r="H94" s="51"/>
      <c r="I94" s="51"/>
      <c r="J94" s="52"/>
      <c r="K94" s="48"/>
    </row>
    <row r="95" spans="1:11" x14ac:dyDescent="0.25">
      <c r="A95" s="50"/>
      <c r="B95" s="51"/>
      <c r="C95" s="51"/>
      <c r="D95" s="51"/>
      <c r="E95" s="51"/>
      <c r="F95" s="51"/>
      <c r="G95" s="51"/>
      <c r="H95" s="51"/>
      <c r="I95" s="51"/>
      <c r="J95" s="52"/>
      <c r="K95" s="48"/>
    </row>
    <row r="96" spans="1:11" x14ac:dyDescent="0.25">
      <c r="A96" s="50"/>
      <c r="B96" s="51"/>
      <c r="C96" s="51"/>
      <c r="D96" s="51"/>
      <c r="E96" s="51"/>
      <c r="F96" s="51"/>
      <c r="G96" s="51"/>
      <c r="H96" s="51"/>
      <c r="I96" s="51"/>
      <c r="J96" s="52"/>
      <c r="K96" s="48"/>
    </row>
    <row r="97" spans="1:11" x14ac:dyDescent="0.25">
      <c r="A97" s="50"/>
      <c r="B97" s="51"/>
      <c r="C97" s="51"/>
      <c r="D97" s="51"/>
      <c r="E97" s="51"/>
      <c r="F97" s="51"/>
      <c r="G97" s="51"/>
      <c r="H97" s="51"/>
      <c r="I97" s="51"/>
      <c r="J97" s="52"/>
      <c r="K97" s="48"/>
    </row>
    <row r="98" spans="1:11" x14ac:dyDescent="0.25">
      <c r="A98" s="50"/>
      <c r="B98" s="51"/>
      <c r="C98" s="51"/>
      <c r="D98" s="51"/>
      <c r="E98" s="51"/>
      <c r="F98" s="51"/>
      <c r="G98" s="51"/>
      <c r="H98" s="51"/>
      <c r="I98" s="51"/>
      <c r="J98" s="52"/>
      <c r="K98" s="48"/>
    </row>
    <row r="99" spans="1:11" x14ac:dyDescent="0.25">
      <c r="A99" s="50"/>
      <c r="B99" s="51"/>
      <c r="C99" s="51"/>
      <c r="D99" s="51"/>
      <c r="E99" s="51"/>
      <c r="F99" s="51"/>
      <c r="G99" s="51"/>
      <c r="H99" s="51"/>
      <c r="I99" s="51"/>
      <c r="J99" s="52"/>
      <c r="K99" s="48"/>
    </row>
    <row r="100" spans="1:11" x14ac:dyDescent="0.25">
      <c r="A100" s="50"/>
      <c r="B100" s="51"/>
      <c r="C100" s="51"/>
      <c r="D100" s="51"/>
      <c r="E100" s="51"/>
      <c r="F100" s="51"/>
      <c r="G100" s="51"/>
      <c r="H100" s="51"/>
      <c r="I100" s="51"/>
      <c r="J100" s="52"/>
      <c r="K100" s="48"/>
    </row>
    <row r="101" spans="1:11" x14ac:dyDescent="0.25">
      <c r="A101" s="50"/>
      <c r="B101" s="51"/>
      <c r="C101" s="51"/>
      <c r="D101" s="51"/>
      <c r="E101" s="51"/>
      <c r="F101" s="51"/>
      <c r="G101" s="51"/>
      <c r="H101" s="51"/>
      <c r="I101" s="51"/>
      <c r="J101" s="52"/>
      <c r="K101" s="48"/>
    </row>
    <row r="102" spans="1:11" x14ac:dyDescent="0.25">
      <c r="A102" s="50"/>
      <c r="B102" s="51"/>
      <c r="C102" s="51"/>
      <c r="D102" s="51"/>
      <c r="E102" s="51"/>
      <c r="F102" s="51"/>
      <c r="G102" s="51"/>
      <c r="H102" s="51"/>
      <c r="I102" s="51"/>
      <c r="J102" s="52"/>
      <c r="K102" s="48"/>
    </row>
    <row r="103" spans="1:11" x14ac:dyDescent="0.25">
      <c r="A103" s="50"/>
      <c r="B103" s="51"/>
      <c r="C103" s="51"/>
      <c r="D103" s="51"/>
      <c r="E103" s="51"/>
      <c r="F103" s="51"/>
      <c r="G103" s="51"/>
      <c r="H103" s="51"/>
      <c r="I103" s="51"/>
      <c r="J103" s="52"/>
      <c r="K103" s="48"/>
    </row>
    <row r="104" spans="1:11" x14ac:dyDescent="0.25">
      <c r="A104" s="50"/>
      <c r="B104" s="51"/>
      <c r="C104" s="51"/>
      <c r="D104" s="51"/>
      <c r="E104" s="51"/>
      <c r="F104" s="51"/>
      <c r="G104" s="51"/>
      <c r="H104" s="51"/>
      <c r="I104" s="51"/>
      <c r="J104" s="52"/>
      <c r="K104" s="48"/>
    </row>
    <row r="105" spans="1:1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4"/>
      <c r="K105" s="48"/>
    </row>
    <row r="106" spans="1:1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4"/>
      <c r="K106" s="48"/>
    </row>
    <row r="107" spans="1:1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4"/>
      <c r="K107" s="48"/>
    </row>
    <row r="108" spans="1:1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4"/>
      <c r="K108" s="48"/>
    </row>
    <row r="109" spans="1:1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4"/>
      <c r="K109" s="48"/>
    </row>
    <row r="110" spans="1:1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4"/>
      <c r="K110" s="48"/>
    </row>
    <row r="111" spans="1:1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4"/>
      <c r="K111" s="48"/>
    </row>
    <row r="112" spans="1:1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4"/>
      <c r="K112" s="48"/>
    </row>
    <row r="113" spans="1:1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4"/>
      <c r="K113" s="48"/>
    </row>
    <row r="114" spans="1:1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4"/>
      <c r="K114" s="48"/>
    </row>
    <row r="115" spans="1:1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4"/>
      <c r="K115" s="48"/>
    </row>
    <row r="116" spans="1:1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4"/>
      <c r="K116" s="48"/>
    </row>
    <row r="117" spans="1:1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4"/>
      <c r="K117" s="48"/>
    </row>
    <row r="118" spans="1:1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4"/>
      <c r="K118" s="48"/>
    </row>
    <row r="119" spans="1:1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4"/>
      <c r="K119" s="48"/>
    </row>
    <row r="120" spans="1:1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4"/>
      <c r="K120" s="48"/>
    </row>
    <row r="121" spans="1:1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4"/>
      <c r="K121" s="48"/>
    </row>
    <row r="122" spans="1:1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4"/>
      <c r="K122" s="48"/>
    </row>
    <row r="123" spans="1:1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4"/>
      <c r="K123" s="48"/>
    </row>
    <row r="124" spans="1:1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4"/>
      <c r="K124" s="48"/>
    </row>
    <row r="125" spans="1:1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4"/>
      <c r="K125" s="48"/>
    </row>
    <row r="126" spans="1:1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4"/>
      <c r="K126" s="48"/>
    </row>
    <row r="127" spans="1:1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4"/>
      <c r="K127" s="48"/>
    </row>
    <row r="128" spans="1:1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4"/>
      <c r="K128" s="48"/>
    </row>
    <row r="129" spans="1:1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4"/>
      <c r="K129" s="48"/>
    </row>
    <row r="130" spans="1:1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4"/>
      <c r="K130" s="48"/>
    </row>
    <row r="131" spans="1:1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4"/>
      <c r="K131" s="48"/>
    </row>
    <row r="132" spans="1:1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4"/>
      <c r="K132" s="48"/>
    </row>
    <row r="133" spans="1:1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4"/>
      <c r="K133" s="48"/>
    </row>
    <row r="134" spans="1:1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4"/>
      <c r="K134" s="48"/>
    </row>
    <row r="135" spans="1:1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4"/>
      <c r="K135" s="48"/>
    </row>
    <row r="136" spans="1:1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4"/>
      <c r="K136" s="48"/>
    </row>
    <row r="137" spans="1:1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4"/>
      <c r="K137" s="48"/>
    </row>
    <row r="138" spans="1:1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4"/>
      <c r="K138" s="48"/>
    </row>
    <row r="139" spans="1:1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4"/>
      <c r="K139" s="48"/>
    </row>
    <row r="140" spans="1:1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4"/>
      <c r="K140" s="48"/>
    </row>
    <row r="141" spans="1:1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4"/>
      <c r="K141" s="48"/>
    </row>
    <row r="142" spans="1:1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4"/>
      <c r="K142" s="48"/>
    </row>
    <row r="143" spans="1:1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4"/>
      <c r="K143" s="48"/>
    </row>
    <row r="144" spans="1:1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4"/>
      <c r="K144" s="48"/>
    </row>
    <row r="145" spans="1:1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4"/>
      <c r="K145" s="48"/>
    </row>
    <row r="146" spans="1:1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4"/>
      <c r="K146" s="48"/>
    </row>
    <row r="147" spans="1:1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4"/>
      <c r="K147" s="48"/>
    </row>
    <row r="148" spans="1:1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4"/>
      <c r="K148" s="48"/>
    </row>
    <row r="149" spans="1:1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4"/>
      <c r="K149" s="48"/>
    </row>
    <row r="150" spans="1:1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4"/>
      <c r="K150" s="48"/>
    </row>
    <row r="151" spans="1:1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4"/>
      <c r="K151" s="48"/>
    </row>
    <row r="152" spans="1:1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4"/>
      <c r="K152" s="48"/>
    </row>
    <row r="153" spans="1:1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4"/>
      <c r="K153" s="48"/>
    </row>
    <row r="154" spans="1:1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4"/>
      <c r="K154" s="48"/>
    </row>
    <row r="155" spans="1:1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4"/>
      <c r="K155" s="48"/>
    </row>
    <row r="156" spans="1:1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4"/>
      <c r="K156" s="48"/>
    </row>
    <row r="157" spans="1:1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4"/>
      <c r="K157" s="48"/>
    </row>
    <row r="158" spans="1:1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4"/>
      <c r="K158" s="48"/>
    </row>
    <row r="159" spans="1:1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4"/>
      <c r="K159" s="48"/>
    </row>
    <row r="160" spans="1:1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4"/>
      <c r="K160" s="48"/>
    </row>
    <row r="161" spans="1:1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4"/>
      <c r="K161" s="48"/>
    </row>
    <row r="162" spans="1:1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4"/>
      <c r="K162" s="48"/>
    </row>
    <row r="163" spans="1:1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4"/>
      <c r="K163" s="48"/>
    </row>
    <row r="164" spans="1:1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4"/>
      <c r="K164" s="48"/>
    </row>
    <row r="165" spans="1:1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4"/>
      <c r="K165" s="48"/>
    </row>
    <row r="166" spans="1:1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4"/>
      <c r="K166" s="48"/>
    </row>
    <row r="167" spans="1:1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4"/>
      <c r="K167" s="48"/>
    </row>
    <row r="168" spans="1:1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4"/>
      <c r="K168" s="48"/>
    </row>
    <row r="169" spans="1:1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4"/>
      <c r="K169" s="48"/>
    </row>
    <row r="170" spans="1:1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4"/>
      <c r="K170" s="48"/>
    </row>
    <row r="171" spans="1:1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4"/>
      <c r="K171" s="48"/>
    </row>
    <row r="172" spans="1:1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4"/>
      <c r="K172" s="48"/>
    </row>
    <row r="173" spans="1:1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4"/>
      <c r="K173" s="48"/>
    </row>
    <row r="174" spans="1:1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4"/>
      <c r="K174" s="48"/>
    </row>
    <row r="175" spans="1:1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4"/>
      <c r="K175" s="48"/>
    </row>
    <row r="176" spans="1:1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4"/>
      <c r="K176" s="48"/>
    </row>
    <row r="177" spans="1:1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4"/>
      <c r="K177" s="48"/>
    </row>
    <row r="178" spans="1:1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4"/>
      <c r="K178" s="48"/>
    </row>
    <row r="179" spans="1:1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4"/>
      <c r="K179" s="48"/>
    </row>
    <row r="180" spans="1:1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4"/>
      <c r="K180" s="48"/>
    </row>
    <row r="181" spans="1:1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4"/>
      <c r="K181" s="48"/>
    </row>
    <row r="182" spans="1:1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4"/>
      <c r="K182" s="48"/>
    </row>
    <row r="183" spans="1:1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4"/>
      <c r="K183" s="48"/>
    </row>
    <row r="184" spans="1:1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4"/>
      <c r="K184" s="48"/>
    </row>
    <row r="185" spans="1:1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4"/>
      <c r="K185" s="48"/>
    </row>
    <row r="186" spans="1:1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4"/>
      <c r="K186" s="48"/>
    </row>
    <row r="187" spans="1:1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4"/>
      <c r="K187" s="48"/>
    </row>
    <row r="188" spans="1:1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4"/>
      <c r="K188" s="48"/>
    </row>
    <row r="189" spans="1:1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4"/>
      <c r="K189" s="48"/>
    </row>
    <row r="190" spans="1:1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4"/>
      <c r="K190" s="48"/>
    </row>
    <row r="191" spans="1:1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4"/>
      <c r="K191" s="48"/>
    </row>
    <row r="192" spans="1:1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4"/>
      <c r="K192" s="48"/>
    </row>
    <row r="193" spans="1:1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4"/>
      <c r="K193" s="48"/>
    </row>
    <row r="194" spans="1:1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4"/>
      <c r="K194" s="48"/>
    </row>
    <row r="195" spans="1:1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4"/>
      <c r="K195" s="48"/>
    </row>
    <row r="196" spans="1:1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4"/>
      <c r="K196" s="48"/>
    </row>
    <row r="197" spans="1:1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4"/>
      <c r="K197" s="48"/>
    </row>
    <row r="198" spans="1:1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4"/>
      <c r="K198" s="48"/>
    </row>
    <row r="199" spans="1:1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4"/>
      <c r="K199" s="48"/>
    </row>
    <row r="200" spans="1:1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4"/>
      <c r="K200" s="48"/>
    </row>
    <row r="201" spans="1:1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4"/>
      <c r="K201" s="48"/>
    </row>
    <row r="202" spans="1:1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4"/>
      <c r="K202" s="48"/>
    </row>
    <row r="203" spans="1:1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4"/>
      <c r="K203" s="48"/>
    </row>
    <row r="204" spans="1:1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4"/>
      <c r="K204" s="48"/>
    </row>
    <row r="205" spans="1:1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4"/>
      <c r="K205" s="48"/>
    </row>
    <row r="206" spans="1:1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4"/>
      <c r="K206" s="48"/>
    </row>
    <row r="207" spans="1:1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4"/>
      <c r="K207" s="48"/>
    </row>
    <row r="208" spans="1:1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4"/>
      <c r="K208" s="48"/>
    </row>
    <row r="209" spans="1:1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4"/>
      <c r="K209" s="48"/>
    </row>
    <row r="210" spans="1:1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4"/>
      <c r="K210" s="48"/>
    </row>
    <row r="211" spans="1:1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4"/>
      <c r="K211" s="48"/>
    </row>
    <row r="212" spans="1:1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4"/>
      <c r="K212" s="48"/>
    </row>
    <row r="213" spans="1:1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4"/>
      <c r="K213" s="48"/>
    </row>
    <row r="214" spans="1:1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4"/>
      <c r="K214" s="48"/>
    </row>
    <row r="215" spans="1:1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4"/>
      <c r="K215" s="48"/>
    </row>
    <row r="216" spans="1:1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4"/>
      <c r="K216" s="48"/>
    </row>
    <row r="217" spans="1:1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4"/>
      <c r="K217" s="48"/>
    </row>
    <row r="218" spans="1:1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4"/>
      <c r="K218" s="48"/>
    </row>
    <row r="219" spans="1:1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4"/>
      <c r="K219" s="48"/>
    </row>
    <row r="220" spans="1:1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4"/>
      <c r="K220" s="48"/>
    </row>
    <row r="221" spans="1:1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4"/>
      <c r="K221" s="48"/>
    </row>
    <row r="222" spans="1:1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4"/>
      <c r="K222" s="48"/>
    </row>
    <row r="223" spans="1:1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4"/>
      <c r="K223" s="48"/>
    </row>
    <row r="224" spans="1:1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4"/>
      <c r="K224" s="48"/>
    </row>
    <row r="225" spans="1:1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4"/>
      <c r="K225" s="48"/>
    </row>
    <row r="226" spans="1:1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4"/>
      <c r="K226" s="48"/>
    </row>
    <row r="227" spans="1:1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4"/>
      <c r="K227" s="48"/>
    </row>
    <row r="228" spans="1:1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4"/>
      <c r="K228" s="48"/>
    </row>
    <row r="229" spans="1:1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4"/>
      <c r="K229" s="48"/>
    </row>
    <row r="230" spans="1:1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4"/>
      <c r="K230" s="48"/>
    </row>
    <row r="231" spans="1:1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4"/>
      <c r="K231" s="48"/>
    </row>
    <row r="232" spans="1:1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4"/>
      <c r="K232" s="48"/>
    </row>
    <row r="233" spans="1:1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4"/>
      <c r="K233" s="48"/>
    </row>
    <row r="234" spans="1:1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4"/>
      <c r="K234" s="48"/>
    </row>
    <row r="235" spans="1:1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4"/>
      <c r="K235" s="48"/>
    </row>
    <row r="236" spans="1:1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4"/>
      <c r="K236" s="48"/>
    </row>
    <row r="237" spans="1:1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4"/>
      <c r="K237" s="48"/>
    </row>
    <row r="238" spans="1:1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4"/>
      <c r="K238" s="48"/>
    </row>
    <row r="239" spans="1:1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4"/>
      <c r="K239" s="48"/>
    </row>
    <row r="240" spans="1:1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4"/>
      <c r="K240" s="48"/>
    </row>
    <row r="241" spans="1:1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4"/>
      <c r="K241" s="48"/>
    </row>
    <row r="242" spans="1:1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4"/>
      <c r="K242" s="48"/>
    </row>
    <row r="243" spans="1:1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4"/>
      <c r="K243" s="48"/>
    </row>
    <row r="244" spans="1:1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4"/>
      <c r="K244" s="48"/>
    </row>
    <row r="245" spans="1:1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4"/>
      <c r="K245" s="48"/>
    </row>
    <row r="246" spans="1:1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4"/>
      <c r="K246" s="48"/>
    </row>
    <row r="247" spans="1:1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4"/>
      <c r="K247" s="48"/>
    </row>
    <row r="248" spans="1:1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4"/>
      <c r="K248" s="48"/>
    </row>
    <row r="249" spans="1:1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4"/>
      <c r="K249" s="48"/>
    </row>
    <row r="250" spans="1:1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4"/>
      <c r="K250" s="48"/>
    </row>
    <row r="251" spans="1:1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4"/>
      <c r="K251" s="48"/>
    </row>
    <row r="252" spans="1:1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4"/>
      <c r="K252" s="48"/>
    </row>
    <row r="253" spans="1:1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4"/>
      <c r="K253" s="48"/>
    </row>
    <row r="254" spans="1:1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4"/>
      <c r="K254" s="48"/>
    </row>
    <row r="255" spans="1:1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4"/>
      <c r="K255" s="48"/>
    </row>
    <row r="256" spans="1:1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4"/>
      <c r="K256" s="48"/>
    </row>
    <row r="257" spans="1:1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4"/>
      <c r="K257" s="48"/>
    </row>
    <row r="258" spans="1:1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4"/>
      <c r="K258" s="48"/>
    </row>
    <row r="259" spans="1:1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4"/>
      <c r="K259" s="48"/>
    </row>
    <row r="260" spans="1:1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4"/>
      <c r="K260" s="48"/>
    </row>
    <row r="261" spans="1:1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4"/>
      <c r="K261" s="48"/>
    </row>
    <row r="262" spans="1:1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4"/>
      <c r="K262" s="48"/>
    </row>
    <row r="263" spans="1:1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4"/>
      <c r="K263" s="48"/>
    </row>
    <row r="264" spans="1:1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4"/>
      <c r="K264" s="48"/>
    </row>
    <row r="265" spans="1:1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4"/>
      <c r="K265" s="48"/>
    </row>
    <row r="266" spans="1:1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4"/>
      <c r="K266" s="48"/>
    </row>
    <row r="267" spans="1:1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4"/>
      <c r="K267" s="48"/>
    </row>
    <row r="268" spans="1:1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4"/>
      <c r="K268" s="48"/>
    </row>
    <row r="269" spans="1:1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4"/>
      <c r="K269" s="48"/>
    </row>
    <row r="270" spans="1:1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4"/>
      <c r="K270" s="48"/>
    </row>
    <row r="271" spans="1:1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4"/>
      <c r="K271" s="48"/>
    </row>
    <row r="272" spans="1:1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4"/>
      <c r="K272" s="48"/>
    </row>
    <row r="273" spans="1:1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4"/>
      <c r="K273" s="48"/>
    </row>
    <row r="274" spans="1:1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4"/>
      <c r="K274" s="48"/>
    </row>
    <row r="275" spans="1:1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4"/>
      <c r="K275" s="48"/>
    </row>
    <row r="276" spans="1:1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4"/>
      <c r="K276" s="48"/>
    </row>
    <row r="277" spans="1:1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4"/>
      <c r="K277" s="48"/>
    </row>
    <row r="278" spans="1:1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4"/>
      <c r="K278" s="48"/>
    </row>
    <row r="279" spans="1:1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4"/>
      <c r="K279" s="48"/>
    </row>
    <row r="280" spans="1:1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4"/>
      <c r="K280" s="48"/>
    </row>
    <row r="281" spans="1:1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4"/>
      <c r="K281" s="48"/>
    </row>
    <row r="282" spans="1:1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4"/>
      <c r="K282" s="48"/>
    </row>
    <row r="283" spans="1:1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4"/>
      <c r="K283" s="48"/>
    </row>
    <row r="284" spans="1:1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4"/>
      <c r="K284" s="48"/>
    </row>
    <row r="285" spans="1:1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4"/>
      <c r="K285" s="48"/>
    </row>
    <row r="286" spans="1:1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4"/>
      <c r="K286" s="48"/>
    </row>
    <row r="287" spans="1:1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4"/>
      <c r="K287" s="48"/>
    </row>
    <row r="288" spans="1:1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4"/>
      <c r="K288" s="48"/>
    </row>
    <row r="289" spans="1:1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4"/>
      <c r="K289" s="48"/>
    </row>
    <row r="290" spans="1:1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4"/>
      <c r="K290" s="48"/>
    </row>
    <row r="291" spans="1:1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4"/>
      <c r="K291" s="48"/>
    </row>
    <row r="292" spans="1:1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4"/>
      <c r="K292" s="48"/>
    </row>
    <row r="293" spans="1:1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4"/>
      <c r="K293" s="48"/>
    </row>
    <row r="294" spans="1:1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4"/>
      <c r="K294" s="48"/>
    </row>
    <row r="295" spans="1:1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4"/>
      <c r="K295" s="48"/>
    </row>
    <row r="296" spans="1:1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4"/>
      <c r="K296" s="48"/>
    </row>
    <row r="297" spans="1:1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4"/>
      <c r="K297" s="48"/>
    </row>
    <row r="298" spans="1:1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4"/>
      <c r="K298" s="48"/>
    </row>
    <row r="299" spans="1:1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4"/>
      <c r="K299" s="48"/>
    </row>
    <row r="300" spans="1:1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4"/>
      <c r="K300" s="48"/>
    </row>
    <row r="301" spans="1:1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4"/>
      <c r="K301" s="48"/>
    </row>
    <row r="302" spans="1:1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4"/>
      <c r="K302" s="48"/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4"/>
      <c r="K303" s="48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4"/>
      <c r="K304" s="48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4"/>
      <c r="K305" s="48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4"/>
      <c r="K306" s="48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4"/>
      <c r="K307" s="48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4"/>
      <c r="K308" s="48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4"/>
      <c r="K309" s="48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4"/>
      <c r="K310" s="48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4"/>
      <c r="K311" s="48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4"/>
      <c r="K312" s="48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4"/>
      <c r="K313" s="48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4"/>
      <c r="K314" s="48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4"/>
      <c r="K315" s="48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4"/>
      <c r="K316" s="48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4"/>
      <c r="K317" s="48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4"/>
      <c r="K318" s="48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4"/>
      <c r="K319" s="48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4"/>
      <c r="K320" s="48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4"/>
      <c r="K321" s="48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4"/>
      <c r="K322" s="48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4"/>
      <c r="K323" s="48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4"/>
      <c r="K324" s="48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4"/>
      <c r="K325" s="48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4"/>
      <c r="K326" s="48"/>
    </row>
    <row r="327" spans="1:1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4"/>
      <c r="K327" s="48"/>
    </row>
    <row r="328" spans="1:1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4"/>
      <c r="K328" s="48"/>
    </row>
    <row r="329" spans="1:1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4"/>
      <c r="K329" s="48"/>
    </row>
    <row r="330" spans="1:1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4"/>
      <c r="K330" s="48"/>
    </row>
    <row r="331" spans="1:1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4"/>
      <c r="K331" s="48"/>
    </row>
    <row r="332" spans="1:1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4"/>
      <c r="K332" s="48"/>
    </row>
    <row r="333" spans="1:1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4"/>
      <c r="K333" s="48"/>
    </row>
    <row r="334" spans="1:1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4"/>
      <c r="K334" s="48"/>
    </row>
    <row r="335" spans="1:1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4"/>
      <c r="K335" s="48"/>
    </row>
    <row r="336" spans="1:1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4"/>
      <c r="K336" s="48"/>
    </row>
    <row r="337" spans="1:1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4"/>
      <c r="K337" s="48"/>
    </row>
    <row r="338" spans="1:1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4"/>
      <c r="K338" s="48"/>
    </row>
    <row r="339" spans="1:1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4"/>
      <c r="K339" s="48"/>
    </row>
    <row r="340" spans="1:1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4"/>
      <c r="K340" s="48"/>
    </row>
    <row r="341" spans="1:1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4"/>
      <c r="K341" s="48"/>
    </row>
    <row r="342" spans="1:1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4"/>
      <c r="K342" s="48"/>
    </row>
    <row r="343" spans="1:1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4"/>
      <c r="K343" s="48"/>
    </row>
    <row r="344" spans="1:1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4"/>
      <c r="K344" s="48"/>
    </row>
    <row r="345" spans="1:1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4"/>
      <c r="K345" s="48"/>
    </row>
    <row r="346" spans="1:1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4"/>
      <c r="K346" s="48"/>
    </row>
    <row r="347" spans="1:1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4"/>
      <c r="K347" s="48"/>
    </row>
    <row r="348" spans="1:1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4"/>
      <c r="K348" s="48"/>
    </row>
    <row r="349" spans="1:1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4"/>
      <c r="K349" s="48"/>
    </row>
    <row r="350" spans="1:1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4"/>
      <c r="K350" s="48"/>
    </row>
    <row r="351" spans="1:1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4"/>
      <c r="K351" s="48"/>
    </row>
    <row r="352" spans="1:1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4"/>
      <c r="K352" s="48"/>
    </row>
    <row r="353" spans="1:1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4"/>
      <c r="K353" s="48"/>
    </row>
    <row r="354" spans="1:1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4"/>
      <c r="K354" s="48"/>
    </row>
    <row r="355" spans="1:1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4"/>
      <c r="K355" s="48"/>
    </row>
    <row r="356" spans="1:1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4"/>
      <c r="K356" s="48"/>
    </row>
    <row r="357" spans="1:1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4"/>
      <c r="K357" s="48"/>
    </row>
    <row r="358" spans="1:1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4"/>
      <c r="K358" s="48"/>
    </row>
    <row r="359" spans="1:1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4"/>
      <c r="K359" s="48"/>
    </row>
    <row r="360" spans="1:1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4"/>
      <c r="K360" s="48"/>
    </row>
    <row r="361" spans="1:1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4"/>
      <c r="K361" s="48"/>
    </row>
    <row r="362" spans="1:1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4"/>
      <c r="K362" s="48"/>
    </row>
    <row r="363" spans="1:1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4"/>
      <c r="K363" s="48"/>
    </row>
    <row r="364" spans="1:1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4"/>
      <c r="K364" s="48"/>
    </row>
    <row r="365" spans="1:1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4"/>
      <c r="K365" s="48"/>
    </row>
    <row r="366" spans="1:1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4"/>
      <c r="K366" s="48"/>
    </row>
    <row r="367" spans="1:1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4"/>
      <c r="K367" s="48"/>
    </row>
    <row r="368" spans="1:1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4"/>
      <c r="K368" s="48"/>
    </row>
    <row r="369" spans="1:1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4"/>
      <c r="K369" s="48"/>
    </row>
    <row r="370" spans="1:1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4"/>
      <c r="K370" s="48"/>
    </row>
    <row r="371" spans="1:1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4"/>
      <c r="K371" s="48"/>
    </row>
    <row r="372" spans="1:1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4"/>
      <c r="K372" s="48"/>
    </row>
    <row r="373" spans="1:1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4"/>
      <c r="K373" s="48"/>
    </row>
    <row r="374" spans="1:1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4"/>
      <c r="K374" s="48"/>
    </row>
    <row r="375" spans="1:1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4"/>
      <c r="K375" s="48"/>
    </row>
    <row r="376" spans="1:1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4"/>
      <c r="K376" s="48"/>
    </row>
    <row r="377" spans="1:1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4"/>
      <c r="K377" s="48"/>
    </row>
    <row r="378" spans="1:1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4"/>
      <c r="K378" s="48"/>
    </row>
    <row r="379" spans="1:1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4"/>
      <c r="K379" s="48"/>
    </row>
    <row r="380" spans="1:1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4"/>
      <c r="K380" s="48"/>
    </row>
    <row r="381" spans="1:1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4"/>
      <c r="K381" s="48"/>
    </row>
    <row r="382" spans="1:1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4"/>
      <c r="K382" s="48"/>
    </row>
    <row r="383" spans="1:1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4"/>
      <c r="K383" s="48"/>
    </row>
    <row r="384" spans="1:1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4"/>
      <c r="K384" s="48"/>
    </row>
    <row r="385" spans="1:1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4"/>
      <c r="K385" s="48"/>
    </row>
    <row r="386" spans="1:1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4"/>
      <c r="K386" s="48"/>
    </row>
    <row r="387" spans="1:1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4"/>
      <c r="K387" s="48"/>
    </row>
    <row r="388" spans="1:1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4"/>
      <c r="K388" s="48"/>
    </row>
    <row r="389" spans="1:1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4"/>
      <c r="K389" s="48"/>
    </row>
    <row r="390" spans="1:1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4"/>
      <c r="K390" s="48"/>
    </row>
    <row r="391" spans="1:1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4"/>
      <c r="K391" s="48"/>
    </row>
    <row r="392" spans="1:1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4"/>
      <c r="K392" s="48"/>
    </row>
    <row r="393" spans="1:1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4"/>
      <c r="K393" s="48"/>
    </row>
    <row r="394" spans="1:1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4"/>
      <c r="K394" s="48"/>
    </row>
    <row r="395" spans="1:1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4"/>
      <c r="K395" s="48"/>
    </row>
    <row r="396" spans="1:1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4"/>
      <c r="K396" s="48"/>
    </row>
    <row r="397" spans="1:1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4"/>
      <c r="K397" s="48"/>
    </row>
    <row r="398" spans="1:1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4"/>
      <c r="K398" s="48"/>
    </row>
    <row r="399" spans="1:1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4"/>
      <c r="K399" s="48"/>
    </row>
    <row r="400" spans="1:1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4"/>
      <c r="K400" s="48"/>
    </row>
    <row r="401" spans="1:1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4"/>
      <c r="K401" s="48"/>
    </row>
    <row r="402" spans="1:1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4"/>
      <c r="K402" s="48"/>
    </row>
    <row r="403" spans="1:1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4"/>
      <c r="K403" s="48"/>
    </row>
    <row r="404" spans="1:1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4"/>
      <c r="K404" s="48"/>
    </row>
    <row r="405" spans="1:1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4"/>
      <c r="K405" s="48"/>
    </row>
    <row r="406" spans="1:1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4"/>
      <c r="K406" s="48"/>
    </row>
    <row r="407" spans="1:1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4"/>
      <c r="K407" s="48"/>
    </row>
    <row r="408" spans="1:1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4"/>
      <c r="K408" s="48"/>
    </row>
    <row r="409" spans="1:1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4"/>
      <c r="K409" s="48"/>
    </row>
    <row r="410" spans="1:1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4"/>
      <c r="K410" s="48"/>
    </row>
    <row r="411" spans="1:1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4"/>
      <c r="K411" s="48"/>
    </row>
    <row r="412" spans="1:1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4"/>
      <c r="K412" s="48"/>
    </row>
    <row r="413" spans="1:1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4"/>
      <c r="K413" s="48"/>
    </row>
    <row r="414" spans="1:1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4"/>
      <c r="K414" s="48"/>
    </row>
    <row r="415" spans="1:1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4"/>
      <c r="K415" s="48"/>
    </row>
    <row r="416" spans="1:1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4"/>
      <c r="K416" s="48"/>
    </row>
    <row r="417" spans="1:1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4"/>
      <c r="K417" s="48"/>
    </row>
    <row r="418" spans="1:1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4"/>
      <c r="K418" s="48"/>
    </row>
    <row r="419" spans="1:1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4"/>
      <c r="K419" s="48"/>
    </row>
    <row r="420" spans="1:1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4"/>
      <c r="K420" s="48"/>
    </row>
    <row r="421" spans="1:1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4"/>
      <c r="K421" s="48"/>
    </row>
    <row r="422" spans="1:1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4"/>
      <c r="K422" s="48"/>
    </row>
    <row r="423" spans="1:1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4"/>
      <c r="K423" s="48"/>
    </row>
    <row r="424" spans="1:1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4"/>
      <c r="K424" s="48"/>
    </row>
    <row r="425" spans="1:1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4"/>
      <c r="K425" s="48"/>
    </row>
    <row r="426" spans="1:1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4"/>
      <c r="K426" s="48"/>
    </row>
    <row r="427" spans="1:1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4"/>
      <c r="K427" s="48"/>
    </row>
    <row r="428" spans="1:1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4"/>
      <c r="K428" s="48"/>
    </row>
    <row r="429" spans="1:1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4"/>
      <c r="K429" s="48"/>
    </row>
    <row r="430" spans="1:1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4"/>
      <c r="K430" s="48"/>
    </row>
    <row r="431" spans="1:1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4"/>
      <c r="K431" s="48"/>
    </row>
    <row r="432" spans="1:1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4"/>
      <c r="K432" s="48"/>
    </row>
    <row r="433" spans="1:1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4"/>
      <c r="K433" s="48"/>
    </row>
    <row r="434" spans="1:1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4"/>
      <c r="K434" s="48"/>
    </row>
    <row r="435" spans="1:1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4"/>
      <c r="K435" s="48"/>
    </row>
    <row r="436" spans="1:1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4"/>
      <c r="K436" s="48"/>
    </row>
    <row r="437" spans="1:1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4"/>
      <c r="K437" s="48"/>
    </row>
    <row r="438" spans="1:1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4"/>
      <c r="K438" s="48"/>
    </row>
    <row r="439" spans="1:1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4"/>
      <c r="K439" s="48"/>
    </row>
    <row r="440" spans="1:1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4"/>
      <c r="K440" s="48"/>
    </row>
    <row r="441" spans="1:1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4"/>
      <c r="K441" s="48"/>
    </row>
    <row r="442" spans="1:1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4"/>
      <c r="K442" s="48"/>
    </row>
    <row r="443" spans="1:1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4"/>
      <c r="K443" s="48"/>
    </row>
    <row r="444" spans="1:1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4"/>
      <c r="K444" s="48"/>
    </row>
    <row r="445" spans="1:1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4"/>
      <c r="K445" s="48"/>
    </row>
    <row r="446" spans="1:1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4"/>
      <c r="K446" s="48"/>
    </row>
    <row r="447" spans="1:1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4"/>
      <c r="K447" s="48"/>
    </row>
    <row r="448" spans="1:1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4"/>
      <c r="K448" s="48"/>
    </row>
    <row r="449" spans="1:1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4"/>
      <c r="K449" s="48"/>
    </row>
    <row r="450" spans="1:1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4"/>
      <c r="K450" s="48"/>
    </row>
    <row r="451" spans="1:1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4"/>
      <c r="K451" s="48"/>
    </row>
    <row r="452" spans="1:1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4"/>
      <c r="K452" s="48"/>
    </row>
    <row r="453" spans="1:1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4"/>
      <c r="K453" s="48"/>
    </row>
    <row r="454" spans="1:1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4"/>
      <c r="K454" s="48"/>
    </row>
    <row r="455" spans="1:1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4"/>
      <c r="K455" s="48"/>
    </row>
    <row r="456" spans="1:1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4"/>
      <c r="K456" s="48"/>
    </row>
    <row r="457" spans="1:1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4"/>
      <c r="K457" s="48"/>
    </row>
    <row r="458" spans="1:1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4"/>
      <c r="K458" s="48"/>
    </row>
    <row r="459" spans="1:1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4"/>
      <c r="K459" s="48"/>
    </row>
    <row r="460" spans="1:1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4"/>
      <c r="K460" s="48"/>
    </row>
    <row r="461" spans="1:1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4"/>
      <c r="K461" s="48"/>
    </row>
    <row r="462" spans="1:1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4"/>
      <c r="K462" s="48"/>
    </row>
    <row r="463" spans="1:1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4"/>
      <c r="K463" s="48"/>
    </row>
    <row r="464" spans="1:1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4"/>
      <c r="K464" s="48"/>
    </row>
    <row r="465" spans="1:1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4"/>
      <c r="K465" s="48"/>
    </row>
    <row r="466" spans="1:1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4"/>
      <c r="K466" s="48"/>
    </row>
    <row r="467" spans="1:1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4"/>
      <c r="K467" s="48"/>
    </row>
    <row r="468" spans="1:1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4"/>
      <c r="K468" s="48"/>
    </row>
    <row r="469" spans="1:1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4"/>
      <c r="K469" s="48"/>
    </row>
    <row r="470" spans="1:1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4"/>
      <c r="K470" s="48"/>
    </row>
    <row r="471" spans="1:1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4"/>
      <c r="K471" s="48"/>
    </row>
    <row r="472" spans="1:1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4"/>
      <c r="K472" s="48"/>
    </row>
    <row r="473" spans="1:1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4"/>
      <c r="K473" s="48"/>
    </row>
    <row r="474" spans="1:1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4"/>
      <c r="K474" s="48"/>
    </row>
    <row r="475" spans="1:1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4"/>
      <c r="K475" s="48"/>
    </row>
    <row r="476" spans="1:1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4"/>
      <c r="K476" s="48"/>
    </row>
    <row r="477" spans="1:1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4"/>
      <c r="K477" s="48"/>
    </row>
    <row r="478" spans="1:1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4"/>
      <c r="K478" s="48"/>
    </row>
    <row r="479" spans="1:1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4"/>
      <c r="K479" s="48"/>
    </row>
    <row r="480" spans="1:1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4"/>
      <c r="K480" s="48"/>
    </row>
    <row r="481" spans="1:1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4"/>
      <c r="K481" s="48"/>
    </row>
    <row r="482" spans="1:1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4"/>
      <c r="K482" s="48"/>
    </row>
    <row r="483" spans="1:1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4"/>
      <c r="K483" s="48"/>
    </row>
    <row r="484" spans="1:1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4"/>
      <c r="K484" s="48"/>
    </row>
    <row r="485" spans="1:1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4"/>
      <c r="K485" s="48"/>
    </row>
    <row r="486" spans="1:1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4"/>
      <c r="K486" s="48"/>
    </row>
    <row r="487" spans="1:1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4"/>
      <c r="K487" s="48"/>
    </row>
    <row r="488" spans="1:1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4"/>
      <c r="K488" s="48"/>
    </row>
    <row r="489" spans="1:1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4"/>
      <c r="K489" s="48"/>
    </row>
    <row r="490" spans="1:1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4"/>
      <c r="K490" s="48"/>
    </row>
    <row r="491" spans="1:1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4"/>
      <c r="K491" s="48"/>
    </row>
    <row r="492" spans="1:1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4"/>
      <c r="K492" s="48"/>
    </row>
    <row r="493" spans="1:1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4"/>
      <c r="K493" s="48"/>
    </row>
    <row r="494" spans="1:1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4"/>
      <c r="K494" s="48"/>
    </row>
    <row r="495" spans="1:1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4"/>
      <c r="K495" s="48"/>
    </row>
    <row r="496" spans="1:1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4"/>
      <c r="K496" s="48"/>
    </row>
    <row r="497" spans="1:1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4"/>
      <c r="K497" s="48"/>
    </row>
    <row r="498" spans="1:1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4"/>
      <c r="K498" s="48"/>
    </row>
    <row r="499" spans="1:1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4"/>
      <c r="K499" s="48"/>
    </row>
    <row r="500" spans="1:1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4"/>
      <c r="K500" s="48"/>
    </row>
    <row r="501" spans="1:1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4"/>
      <c r="K501" s="48"/>
    </row>
    <row r="502" spans="1:1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4"/>
      <c r="K502" s="48"/>
    </row>
    <row r="503" spans="1:1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4"/>
      <c r="K503" s="48"/>
    </row>
    <row r="504" spans="1:1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4"/>
      <c r="K504" s="48"/>
    </row>
    <row r="505" spans="1:1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4"/>
      <c r="K505" s="48"/>
    </row>
    <row r="506" spans="1:1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4"/>
      <c r="K506" s="48"/>
    </row>
    <row r="507" spans="1:1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4"/>
      <c r="K507" s="48"/>
    </row>
    <row r="508" spans="1:1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4"/>
      <c r="K508" s="48"/>
    </row>
    <row r="509" spans="1:1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4"/>
      <c r="K509" s="48"/>
    </row>
    <row r="510" spans="1:1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4"/>
      <c r="K510" s="48"/>
    </row>
    <row r="511" spans="1:1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4"/>
      <c r="K511" s="48"/>
    </row>
    <row r="512" spans="1:1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4"/>
      <c r="K512" s="48"/>
    </row>
    <row r="513" spans="1:1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4"/>
      <c r="K513" s="48"/>
    </row>
    <row r="514" spans="1:1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4"/>
      <c r="K514" s="48"/>
    </row>
    <row r="515" spans="1:1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4"/>
      <c r="K515" s="48"/>
    </row>
    <row r="516" spans="1:1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4"/>
      <c r="K516" s="48"/>
    </row>
    <row r="517" spans="1:1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4"/>
      <c r="K517" s="48"/>
    </row>
    <row r="518" spans="1:1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4"/>
      <c r="K518" s="48"/>
    </row>
    <row r="519" spans="1:1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4"/>
      <c r="K519" s="48"/>
    </row>
    <row r="520" spans="1:1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4"/>
      <c r="K520" s="48"/>
    </row>
    <row r="521" spans="1:1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4"/>
      <c r="K521" s="48"/>
    </row>
    <row r="522" spans="1:1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4"/>
      <c r="K522" s="48"/>
    </row>
    <row r="523" spans="1:1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4"/>
      <c r="K523" s="48"/>
    </row>
    <row r="524" spans="1:1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4"/>
      <c r="K524" s="48"/>
    </row>
    <row r="525" spans="1:1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4"/>
      <c r="K525" s="48"/>
    </row>
    <row r="526" spans="1:1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4"/>
      <c r="K526" s="48"/>
    </row>
    <row r="527" spans="1:1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4"/>
      <c r="K527" s="48"/>
    </row>
    <row r="528" spans="1:1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4"/>
      <c r="K528" s="48"/>
    </row>
    <row r="529" spans="1:1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4"/>
      <c r="K529" s="48"/>
    </row>
    <row r="530" spans="1:1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4"/>
      <c r="K530" s="48"/>
    </row>
    <row r="531" spans="1:1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4"/>
      <c r="K531" s="48"/>
    </row>
    <row r="532" spans="1:1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4"/>
      <c r="K532" s="48"/>
    </row>
    <row r="533" spans="1:1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4"/>
      <c r="K533" s="48"/>
    </row>
    <row r="534" spans="1:1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4"/>
      <c r="K534" s="48"/>
    </row>
    <row r="535" spans="1:1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4"/>
      <c r="K535" s="48"/>
    </row>
    <row r="536" spans="1:1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4"/>
      <c r="K536" s="48"/>
    </row>
    <row r="537" spans="1:1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4"/>
      <c r="K537" s="48"/>
    </row>
    <row r="538" spans="1:1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4"/>
      <c r="K538" s="48"/>
    </row>
    <row r="539" spans="1:1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4"/>
      <c r="K539" s="48"/>
    </row>
    <row r="540" spans="1:1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4"/>
      <c r="K540" s="48"/>
    </row>
    <row r="541" spans="1:1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4"/>
      <c r="K541" s="48"/>
    </row>
    <row r="542" spans="1:1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4"/>
      <c r="K542" s="48"/>
    </row>
    <row r="543" spans="1:1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4"/>
      <c r="K543" s="48"/>
    </row>
    <row r="544" spans="1:1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4"/>
      <c r="K544" s="48"/>
    </row>
    <row r="545" spans="1:1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4"/>
      <c r="K545" s="48"/>
    </row>
    <row r="546" spans="1:1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4"/>
      <c r="K546" s="48"/>
    </row>
    <row r="547" spans="1:1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4"/>
      <c r="K547" s="48"/>
    </row>
    <row r="548" spans="1:1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4"/>
      <c r="K548" s="48"/>
    </row>
    <row r="549" spans="1:1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4"/>
      <c r="K549" s="48"/>
    </row>
    <row r="550" spans="1:1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4"/>
      <c r="K550" s="48"/>
    </row>
    <row r="551" spans="1:1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4"/>
      <c r="K551" s="48"/>
    </row>
    <row r="552" spans="1:1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4"/>
      <c r="K552" s="48"/>
    </row>
    <row r="553" spans="1:1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4"/>
      <c r="K553" s="48"/>
    </row>
    <row r="554" spans="1:1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4"/>
      <c r="K554" s="48"/>
    </row>
    <row r="555" spans="1:1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4"/>
      <c r="K555" s="48"/>
    </row>
    <row r="556" spans="1:1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4"/>
      <c r="K556" s="48"/>
    </row>
    <row r="557" spans="1:1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4"/>
      <c r="K557" s="48"/>
    </row>
    <row r="558" spans="1:1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4"/>
      <c r="K558" s="48"/>
    </row>
    <row r="559" spans="1:1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4"/>
      <c r="K559" s="48"/>
    </row>
    <row r="560" spans="1:1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4"/>
      <c r="K560" s="48"/>
    </row>
    <row r="561" spans="1:1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4"/>
      <c r="K561" s="48"/>
    </row>
    <row r="562" spans="1:1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4"/>
      <c r="K562" s="48"/>
    </row>
    <row r="563" spans="1:1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4"/>
      <c r="K563" s="48"/>
    </row>
    <row r="564" spans="1:1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4"/>
      <c r="K564" s="48"/>
    </row>
    <row r="565" spans="1:1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4"/>
      <c r="K565" s="48"/>
    </row>
    <row r="566" spans="1:1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4"/>
      <c r="K566" s="48"/>
    </row>
    <row r="567" spans="1:1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4"/>
      <c r="K567" s="48"/>
    </row>
    <row r="568" spans="1:1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4"/>
      <c r="K568" s="48"/>
    </row>
    <row r="569" spans="1:1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4"/>
      <c r="K569" s="48"/>
    </row>
    <row r="570" spans="1:1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4"/>
      <c r="K570" s="48"/>
    </row>
    <row r="571" spans="1:1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4"/>
      <c r="K571" s="48"/>
    </row>
    <row r="572" spans="1:1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4"/>
      <c r="K572" s="48"/>
    </row>
    <row r="573" spans="1:1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4"/>
      <c r="K573" s="48"/>
    </row>
    <row r="574" spans="1:1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4"/>
      <c r="K574" s="48"/>
    </row>
    <row r="575" spans="1:1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4"/>
      <c r="K575" s="48"/>
    </row>
    <row r="576" spans="1:1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4"/>
      <c r="K576" s="48"/>
    </row>
    <row r="577" spans="1:1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4"/>
      <c r="K577" s="48"/>
    </row>
    <row r="578" spans="1:1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4"/>
      <c r="K578" s="48"/>
    </row>
    <row r="579" spans="1:1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4"/>
      <c r="K579" s="48"/>
    </row>
    <row r="580" spans="1:1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4"/>
      <c r="K580" s="48"/>
    </row>
    <row r="581" spans="1:1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4"/>
      <c r="K581" s="48"/>
    </row>
    <row r="582" spans="1:1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4"/>
      <c r="K582" s="48"/>
    </row>
    <row r="583" spans="1:1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4"/>
      <c r="K583" s="48"/>
    </row>
    <row r="584" spans="1:1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4"/>
      <c r="K584" s="48"/>
    </row>
    <row r="585" spans="1:1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4"/>
      <c r="K585" s="48"/>
    </row>
    <row r="586" spans="1:1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4"/>
      <c r="K586" s="48"/>
    </row>
    <row r="587" spans="1:1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4"/>
      <c r="K587" s="48"/>
    </row>
    <row r="588" spans="1:1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4"/>
      <c r="K588" s="48"/>
    </row>
    <row r="589" spans="1:1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4"/>
      <c r="K589" s="48"/>
    </row>
    <row r="590" spans="1:1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4"/>
      <c r="K590" s="48"/>
    </row>
    <row r="591" spans="1:1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4"/>
      <c r="K591" s="48"/>
    </row>
    <row r="592" spans="1:1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4"/>
      <c r="K592" s="48"/>
    </row>
    <row r="593" spans="1:1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4"/>
      <c r="K593" s="48"/>
    </row>
    <row r="594" spans="1:1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4"/>
      <c r="K594" s="48"/>
    </row>
    <row r="595" spans="1:1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4"/>
      <c r="K595" s="48"/>
    </row>
    <row r="596" spans="1:1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4"/>
      <c r="K596" s="48"/>
    </row>
    <row r="597" spans="1:1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4"/>
      <c r="K597" s="48"/>
    </row>
    <row r="598" spans="1:1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4"/>
      <c r="K598" s="48"/>
    </row>
    <row r="599" spans="1:1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4"/>
      <c r="K599" s="48"/>
    </row>
    <row r="600" spans="1:1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4"/>
      <c r="K600" s="48"/>
    </row>
    <row r="601" spans="1:1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4"/>
      <c r="K601" s="48"/>
    </row>
    <row r="602" spans="1:1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4"/>
      <c r="K602" s="48"/>
    </row>
    <row r="603" spans="1:1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4"/>
      <c r="K603" s="48"/>
    </row>
    <row r="604" spans="1:1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4"/>
      <c r="K604" s="48"/>
    </row>
    <row r="605" spans="1:1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4"/>
      <c r="K605" s="48"/>
    </row>
    <row r="606" spans="1:1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4"/>
      <c r="K606" s="48"/>
    </row>
    <row r="607" spans="1:1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4"/>
      <c r="K607" s="48"/>
    </row>
    <row r="608" spans="1:1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4"/>
      <c r="K608" s="48"/>
    </row>
    <row r="609" spans="1:1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4"/>
      <c r="K609" s="48"/>
    </row>
    <row r="610" spans="1:1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4"/>
      <c r="K610" s="48"/>
    </row>
    <row r="611" spans="1:1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4"/>
      <c r="K611" s="48"/>
    </row>
    <row r="612" spans="1:1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4"/>
      <c r="K612" s="48"/>
    </row>
    <row r="613" spans="1:1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4"/>
      <c r="K613" s="48"/>
    </row>
    <row r="614" spans="1:1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4"/>
      <c r="K614" s="48"/>
    </row>
    <row r="615" spans="1:1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4"/>
      <c r="K615" s="48"/>
    </row>
    <row r="616" spans="1:1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4"/>
      <c r="K616" s="48"/>
    </row>
    <row r="617" spans="1:1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4"/>
      <c r="K617" s="48"/>
    </row>
    <row r="618" spans="1:1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4"/>
      <c r="K618" s="48"/>
    </row>
    <row r="619" spans="1:1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4"/>
      <c r="K619" s="48"/>
    </row>
    <row r="620" spans="1:1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4"/>
      <c r="K620" s="48"/>
    </row>
    <row r="621" spans="1:1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4"/>
      <c r="K621" s="48"/>
    </row>
    <row r="622" spans="1:1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4"/>
      <c r="K622" s="48"/>
    </row>
    <row r="623" spans="1:1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4"/>
      <c r="K623" s="48"/>
    </row>
    <row r="624" spans="1:1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4"/>
      <c r="K624" s="48"/>
    </row>
    <row r="625" spans="1:1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4"/>
      <c r="K625" s="48"/>
    </row>
    <row r="626" spans="1:1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4"/>
      <c r="K626" s="48"/>
    </row>
    <row r="627" spans="1:1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4"/>
      <c r="K627" s="48"/>
    </row>
    <row r="628" spans="1:1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4"/>
      <c r="K628" s="48"/>
    </row>
    <row r="629" spans="1:1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4"/>
      <c r="K629" s="48"/>
    </row>
    <row r="630" spans="1:1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4"/>
      <c r="K630" s="48"/>
    </row>
    <row r="631" spans="1:1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4"/>
      <c r="K631" s="48"/>
    </row>
    <row r="632" spans="1:1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4"/>
      <c r="K632" s="48"/>
    </row>
    <row r="633" spans="1:1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4"/>
      <c r="K633" s="48"/>
    </row>
    <row r="634" spans="1:1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4"/>
      <c r="K634" s="48"/>
    </row>
    <row r="635" spans="1:1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4"/>
      <c r="K635" s="48"/>
    </row>
    <row r="636" spans="1:1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4"/>
      <c r="K636" s="48"/>
    </row>
    <row r="637" spans="1:1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4"/>
      <c r="K637" s="48"/>
    </row>
    <row r="638" spans="1:1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4"/>
      <c r="K638" s="48"/>
    </row>
    <row r="639" spans="1:1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4"/>
      <c r="K639" s="48"/>
    </row>
    <row r="640" spans="1:1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4"/>
      <c r="K640" s="48"/>
    </row>
    <row r="641" spans="1:1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4"/>
      <c r="K641" s="48"/>
    </row>
    <row r="642" spans="1:1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4"/>
      <c r="K642" s="48"/>
    </row>
    <row r="643" spans="1:1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4"/>
      <c r="K643" s="48"/>
    </row>
    <row r="644" spans="1:1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4"/>
      <c r="K644" s="48"/>
    </row>
    <row r="645" spans="1:1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4"/>
      <c r="K645" s="48"/>
    </row>
    <row r="646" spans="1:1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4"/>
      <c r="K646" s="48"/>
    </row>
    <row r="647" spans="1:1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4"/>
      <c r="K647" s="48"/>
    </row>
    <row r="648" spans="1:1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4"/>
      <c r="K648" s="48"/>
    </row>
    <row r="649" spans="1:1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4"/>
      <c r="K649" s="48"/>
    </row>
    <row r="650" spans="1:1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4"/>
      <c r="K650" s="48"/>
    </row>
    <row r="651" spans="1:1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4"/>
      <c r="K651" s="48"/>
    </row>
    <row r="652" spans="1:1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4"/>
      <c r="K652" s="48"/>
    </row>
    <row r="653" spans="1:1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4"/>
      <c r="K653" s="48"/>
    </row>
    <row r="654" spans="1:1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4"/>
      <c r="K654" s="48"/>
    </row>
    <row r="655" spans="1:1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4"/>
      <c r="K655" s="48"/>
    </row>
    <row r="656" spans="1:1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4"/>
      <c r="K656" s="48"/>
    </row>
    <row r="657" spans="1:1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4"/>
      <c r="K657" s="48"/>
    </row>
    <row r="658" spans="1:1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4"/>
      <c r="K658" s="48"/>
    </row>
    <row r="659" spans="1:1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4"/>
      <c r="K659" s="48"/>
    </row>
    <row r="660" spans="1:1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4"/>
      <c r="K660" s="48"/>
    </row>
    <row r="661" spans="1:1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4"/>
      <c r="K661" s="48"/>
    </row>
    <row r="662" spans="1:1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4"/>
      <c r="K662" s="48"/>
    </row>
    <row r="663" spans="1:1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4"/>
      <c r="K663" s="48"/>
    </row>
    <row r="664" spans="1:1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4"/>
      <c r="K664" s="48"/>
    </row>
    <row r="665" spans="1:1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4"/>
      <c r="K665" s="48"/>
    </row>
    <row r="666" spans="1:1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4"/>
      <c r="K666" s="48"/>
    </row>
    <row r="667" spans="1:1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4"/>
      <c r="K667" s="48"/>
    </row>
    <row r="668" spans="1:1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4"/>
      <c r="K668" s="48"/>
    </row>
    <row r="669" spans="1:1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4"/>
      <c r="K669" s="48"/>
    </row>
    <row r="670" spans="1:1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4"/>
      <c r="K670" s="48"/>
    </row>
    <row r="671" spans="1:1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4"/>
      <c r="K671" s="48"/>
    </row>
    <row r="672" spans="1:1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4"/>
      <c r="K672" s="48"/>
    </row>
    <row r="673" spans="1:1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4"/>
      <c r="K673" s="48"/>
    </row>
    <row r="674" spans="1:1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4"/>
      <c r="K674" s="48"/>
    </row>
    <row r="675" spans="1:1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4"/>
      <c r="K675" s="48"/>
    </row>
    <row r="676" spans="1:1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4"/>
      <c r="K676" s="48"/>
    </row>
    <row r="677" spans="1:1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4"/>
      <c r="K677" s="48"/>
    </row>
    <row r="678" spans="1:1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4"/>
      <c r="K678" s="48"/>
    </row>
    <row r="679" spans="1:1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4"/>
      <c r="K679" s="48"/>
    </row>
    <row r="680" spans="1:1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4"/>
      <c r="K680" s="48"/>
    </row>
    <row r="681" spans="1:1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4"/>
      <c r="K681" s="48"/>
    </row>
    <row r="682" spans="1:1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4"/>
      <c r="K682" s="48"/>
    </row>
    <row r="683" spans="1:1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4"/>
      <c r="K683" s="48"/>
    </row>
    <row r="684" spans="1:1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4"/>
      <c r="K684" s="48"/>
    </row>
    <row r="685" spans="1:1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4"/>
      <c r="K685" s="48"/>
    </row>
    <row r="686" spans="1:1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4"/>
      <c r="K686" s="48"/>
    </row>
    <row r="687" spans="1:1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4"/>
      <c r="K687" s="48"/>
    </row>
    <row r="688" spans="1:1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4"/>
      <c r="K688" s="48"/>
    </row>
    <row r="689" spans="1:1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4"/>
      <c r="K689" s="48"/>
    </row>
    <row r="690" spans="1:1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4"/>
      <c r="K690" s="48"/>
    </row>
    <row r="691" spans="1:1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4"/>
      <c r="K691" s="48"/>
    </row>
    <row r="692" spans="1:1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4"/>
      <c r="K692" s="48"/>
    </row>
    <row r="693" spans="1:1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4"/>
      <c r="K693" s="48"/>
    </row>
    <row r="694" spans="1:1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4"/>
      <c r="K694" s="48"/>
    </row>
    <row r="695" spans="1:1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4"/>
      <c r="K695" s="48"/>
    </row>
    <row r="696" spans="1:1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4"/>
      <c r="K696" s="48"/>
    </row>
    <row r="697" spans="1:1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4"/>
      <c r="K697" s="48"/>
    </row>
    <row r="698" spans="1:1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4"/>
      <c r="K698" s="48"/>
    </row>
    <row r="699" spans="1:1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4"/>
      <c r="K699" s="48"/>
    </row>
    <row r="700" spans="1:1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4"/>
      <c r="K700" s="48"/>
    </row>
    <row r="701" spans="1:1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4"/>
      <c r="K701" s="48"/>
    </row>
    <row r="702" spans="1:1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4"/>
      <c r="K702" s="48"/>
    </row>
    <row r="703" spans="1:1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4"/>
      <c r="K703" s="48"/>
    </row>
    <row r="704" spans="1:1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4"/>
      <c r="K704" s="48"/>
    </row>
    <row r="705" spans="1:1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4"/>
      <c r="K705" s="48"/>
    </row>
    <row r="706" spans="1:1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4"/>
      <c r="K706" s="48"/>
    </row>
    <row r="707" spans="1:1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4"/>
      <c r="K707" s="48"/>
    </row>
    <row r="708" spans="1:1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4"/>
      <c r="K708" s="48"/>
    </row>
    <row r="709" spans="1:1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4"/>
      <c r="K709" s="48"/>
    </row>
    <row r="710" spans="1:1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4"/>
      <c r="K710" s="48"/>
    </row>
    <row r="711" spans="1:1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4"/>
      <c r="K711" s="48"/>
    </row>
    <row r="712" spans="1:1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4"/>
      <c r="K712" s="48"/>
    </row>
    <row r="713" spans="1:1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4"/>
      <c r="K713" s="48"/>
    </row>
    <row r="714" spans="1:1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4"/>
      <c r="K714" s="48"/>
    </row>
    <row r="715" spans="1:1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4"/>
      <c r="K715" s="48"/>
    </row>
    <row r="716" spans="1:1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4"/>
      <c r="K716" s="48"/>
    </row>
    <row r="717" spans="1:1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4"/>
      <c r="K717" s="48"/>
    </row>
    <row r="718" spans="1:1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4"/>
      <c r="K718" s="48"/>
    </row>
    <row r="719" spans="1:1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4"/>
      <c r="K719" s="48"/>
    </row>
    <row r="720" spans="1:1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4"/>
      <c r="K720" s="48"/>
    </row>
    <row r="721" spans="1:1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4"/>
      <c r="K721" s="48"/>
    </row>
    <row r="722" spans="1:1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4"/>
      <c r="K722" s="48"/>
    </row>
    <row r="723" spans="1:1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4"/>
      <c r="K723" s="48"/>
    </row>
    <row r="724" spans="1:1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4"/>
      <c r="K724" s="48"/>
    </row>
    <row r="725" spans="1:1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4"/>
      <c r="K725" s="48"/>
    </row>
    <row r="726" spans="1:1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4"/>
      <c r="K726" s="48"/>
    </row>
    <row r="727" spans="1:1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4"/>
      <c r="K727" s="48"/>
    </row>
    <row r="728" spans="1:1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4"/>
      <c r="K728" s="48"/>
    </row>
    <row r="729" spans="1:1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4"/>
      <c r="K729" s="48"/>
    </row>
    <row r="730" spans="1:1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4"/>
      <c r="K730" s="48"/>
    </row>
    <row r="731" spans="1:1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4"/>
      <c r="K731" s="48"/>
    </row>
    <row r="732" spans="1:1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4"/>
      <c r="K732" s="48"/>
    </row>
    <row r="733" spans="1:1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4"/>
      <c r="K733" s="48"/>
    </row>
    <row r="734" spans="1:1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4"/>
      <c r="K734" s="48"/>
    </row>
    <row r="735" spans="1:1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4"/>
      <c r="K735" s="48"/>
    </row>
    <row r="736" spans="1:1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4"/>
      <c r="K736" s="48"/>
    </row>
    <row r="737" spans="1:1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4"/>
      <c r="K737" s="48"/>
    </row>
    <row r="738" spans="1:1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4"/>
      <c r="K738" s="48"/>
    </row>
    <row r="739" spans="1:1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4"/>
      <c r="K739" s="48"/>
    </row>
    <row r="740" spans="1:1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4"/>
      <c r="K740" s="48"/>
    </row>
    <row r="741" spans="1:1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4"/>
      <c r="K741" s="48"/>
    </row>
    <row r="742" spans="1:1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4"/>
      <c r="K742" s="48"/>
    </row>
    <row r="743" spans="1:1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4"/>
      <c r="K743" s="48"/>
    </row>
    <row r="744" spans="1:1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4"/>
      <c r="K744" s="48"/>
    </row>
    <row r="745" spans="1:1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4"/>
      <c r="K745" s="48"/>
    </row>
    <row r="746" spans="1:1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4"/>
      <c r="K746" s="48"/>
    </row>
    <row r="747" spans="1:1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4"/>
      <c r="K747" s="48"/>
    </row>
    <row r="748" spans="1:1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4"/>
      <c r="K748" s="48"/>
    </row>
    <row r="749" spans="1:1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4"/>
      <c r="K749" s="48"/>
    </row>
    <row r="750" spans="1:1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4"/>
      <c r="K750" s="48"/>
    </row>
    <row r="751" spans="1:1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4"/>
      <c r="K751" s="48"/>
    </row>
    <row r="752" spans="1:1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4"/>
      <c r="K752" s="48"/>
    </row>
    <row r="753" spans="1:1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4"/>
      <c r="K753" s="48"/>
    </row>
    <row r="754" spans="1:1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4"/>
      <c r="K754" s="48"/>
    </row>
    <row r="755" spans="1:1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4"/>
      <c r="K755" s="48"/>
    </row>
    <row r="756" spans="1:1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4"/>
      <c r="K756" s="48"/>
    </row>
    <row r="757" spans="1:1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4"/>
      <c r="K757" s="48"/>
    </row>
    <row r="758" spans="1:1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4"/>
      <c r="K758" s="48"/>
    </row>
    <row r="759" spans="1:1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4"/>
      <c r="K759" s="48"/>
    </row>
    <row r="760" spans="1:1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4"/>
      <c r="K760" s="48"/>
    </row>
    <row r="761" spans="1:1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4"/>
      <c r="K761" s="48"/>
    </row>
    <row r="762" spans="1:1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4"/>
      <c r="K762" s="48"/>
    </row>
    <row r="763" spans="1:1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4"/>
      <c r="K763" s="48"/>
    </row>
    <row r="764" spans="1:1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4"/>
      <c r="K764" s="48"/>
    </row>
    <row r="765" spans="1:1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4"/>
      <c r="K765" s="48"/>
    </row>
    <row r="766" spans="1:1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4"/>
      <c r="K766" s="48"/>
    </row>
    <row r="767" spans="1:1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4"/>
      <c r="K767" s="48"/>
    </row>
    <row r="768" spans="1:1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4"/>
      <c r="K768" s="48"/>
    </row>
    <row r="769" spans="1:1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4"/>
      <c r="K769" s="48"/>
    </row>
    <row r="770" spans="1:1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4"/>
      <c r="K770" s="48"/>
    </row>
    <row r="771" spans="1:1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4"/>
      <c r="K771" s="48"/>
    </row>
    <row r="772" spans="1:1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4"/>
      <c r="K772" s="48"/>
    </row>
    <row r="773" spans="1:1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4"/>
      <c r="K773" s="48"/>
    </row>
    <row r="774" spans="1:1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4"/>
      <c r="K774" s="48"/>
    </row>
    <row r="775" spans="1:1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4"/>
      <c r="K775" s="48"/>
    </row>
    <row r="776" spans="1:1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4"/>
      <c r="K776" s="48"/>
    </row>
    <row r="777" spans="1:1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4"/>
      <c r="K777" s="48"/>
    </row>
    <row r="778" spans="1:1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4"/>
      <c r="K778" s="48"/>
    </row>
    <row r="779" spans="1:1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4"/>
      <c r="K779" s="48"/>
    </row>
    <row r="780" spans="1:1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4"/>
      <c r="K780" s="48"/>
    </row>
    <row r="781" spans="1:1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4"/>
      <c r="K781" s="48"/>
    </row>
    <row r="782" spans="1:1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4"/>
      <c r="K782" s="48"/>
    </row>
    <row r="783" spans="1:1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4"/>
      <c r="K783" s="48"/>
    </row>
    <row r="784" spans="1:1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4"/>
      <c r="K784" s="48"/>
    </row>
    <row r="785" spans="1:1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4"/>
      <c r="K785" s="48"/>
    </row>
    <row r="786" spans="1:1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4"/>
      <c r="K786" s="48"/>
    </row>
    <row r="787" spans="1:1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4"/>
      <c r="K787" s="48"/>
    </row>
    <row r="788" spans="1:1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4"/>
      <c r="K788" s="48"/>
    </row>
    <row r="789" spans="1:1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4"/>
      <c r="K789" s="48"/>
    </row>
    <row r="790" spans="1:1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4"/>
      <c r="K790" s="48"/>
    </row>
    <row r="791" spans="1:1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4"/>
      <c r="K791" s="48"/>
    </row>
    <row r="792" spans="1:1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4"/>
      <c r="K792" s="48"/>
    </row>
    <row r="793" spans="1:1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4"/>
      <c r="K793" s="48"/>
    </row>
    <row r="794" spans="1:1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4"/>
      <c r="K794" s="48"/>
    </row>
    <row r="795" spans="1:1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4"/>
      <c r="K795" s="48"/>
    </row>
    <row r="796" spans="1:1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4"/>
      <c r="K796" s="48"/>
    </row>
    <row r="797" spans="1:1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4"/>
      <c r="K797" s="48"/>
    </row>
    <row r="798" spans="1:1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4"/>
      <c r="K798" s="48"/>
    </row>
    <row r="799" spans="1:1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4"/>
      <c r="K799" s="48"/>
    </row>
    <row r="800" spans="1:1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4"/>
      <c r="K800" s="48"/>
    </row>
    <row r="801" spans="1:1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4"/>
      <c r="K801" s="48"/>
    </row>
    <row r="802" spans="1:1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4"/>
      <c r="K802" s="48"/>
    </row>
    <row r="803" spans="1:1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4"/>
      <c r="K803" s="48"/>
    </row>
    <row r="804" spans="1:1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4"/>
      <c r="K804" s="48"/>
    </row>
    <row r="805" spans="1:1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4"/>
      <c r="K805" s="48"/>
    </row>
    <row r="806" spans="1:1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4"/>
      <c r="K806" s="48"/>
    </row>
    <row r="807" spans="1:1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4"/>
      <c r="K807" s="48"/>
    </row>
    <row r="808" spans="1:1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4"/>
      <c r="K808" s="48"/>
    </row>
    <row r="809" spans="1:1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4"/>
      <c r="K809" s="48"/>
    </row>
    <row r="810" spans="1:1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4"/>
      <c r="K810" s="48"/>
    </row>
    <row r="811" spans="1:1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4"/>
      <c r="K811" s="48"/>
    </row>
    <row r="812" spans="1:1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4"/>
      <c r="K812" s="48"/>
    </row>
    <row r="813" spans="1:1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4"/>
      <c r="K813" s="48"/>
    </row>
    <row r="814" spans="1:1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4"/>
      <c r="K814" s="48"/>
    </row>
    <row r="815" spans="1:1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4"/>
      <c r="K815" s="48"/>
    </row>
    <row r="816" spans="1:1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4"/>
      <c r="K816" s="48"/>
    </row>
    <row r="817" spans="1:1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4"/>
      <c r="K817" s="48"/>
    </row>
    <row r="818" spans="1:1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4"/>
      <c r="K818" s="48"/>
    </row>
    <row r="819" spans="1:1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4"/>
      <c r="K819" s="48"/>
    </row>
    <row r="820" spans="1:1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4"/>
      <c r="K820" s="48"/>
    </row>
    <row r="821" spans="1:1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4"/>
      <c r="K821" s="48"/>
    </row>
    <row r="822" spans="1:1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4"/>
      <c r="K822" s="48"/>
    </row>
    <row r="823" spans="1:1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4"/>
      <c r="K823" s="48"/>
    </row>
    <row r="824" spans="1:1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4"/>
      <c r="K824" s="48"/>
    </row>
    <row r="825" spans="1:1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4"/>
      <c r="K825" s="48"/>
    </row>
    <row r="826" spans="1:1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4"/>
      <c r="K826" s="48"/>
    </row>
    <row r="827" spans="1:1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4"/>
      <c r="K827" s="48"/>
    </row>
    <row r="828" spans="1:1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4"/>
      <c r="K828" s="48"/>
    </row>
    <row r="829" spans="1:1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4"/>
      <c r="K829" s="48"/>
    </row>
    <row r="830" spans="1:1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4"/>
      <c r="K830" s="48"/>
    </row>
    <row r="831" spans="1:1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4"/>
      <c r="K831" s="48"/>
    </row>
    <row r="832" spans="1:1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4"/>
      <c r="K832" s="48"/>
    </row>
    <row r="833" spans="1:1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4"/>
      <c r="K833" s="48"/>
    </row>
    <row r="834" spans="1:1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4"/>
      <c r="K834" s="48"/>
    </row>
    <row r="835" spans="1:1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4"/>
      <c r="K835" s="48"/>
    </row>
    <row r="836" spans="1:1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4"/>
      <c r="K836" s="48"/>
    </row>
    <row r="837" spans="1:1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4"/>
      <c r="K837" s="48"/>
    </row>
    <row r="838" spans="1:1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4"/>
      <c r="K838" s="48"/>
    </row>
    <row r="839" spans="1:1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4"/>
      <c r="K839" s="48"/>
    </row>
    <row r="840" spans="1:1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4"/>
      <c r="K840" s="48"/>
    </row>
    <row r="841" spans="1:1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4"/>
      <c r="K841" s="48"/>
    </row>
    <row r="842" spans="1:1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4"/>
      <c r="K842" s="48"/>
    </row>
    <row r="843" spans="1:1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4"/>
      <c r="K843" s="48"/>
    </row>
    <row r="844" spans="1:1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4"/>
      <c r="K844" s="48"/>
    </row>
    <row r="845" spans="1:1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4"/>
      <c r="K845" s="48"/>
    </row>
    <row r="846" spans="1:1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4"/>
      <c r="K846" s="48"/>
    </row>
    <row r="847" spans="1:1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4"/>
      <c r="K847" s="48"/>
    </row>
    <row r="848" spans="1:1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4"/>
      <c r="K848" s="48"/>
    </row>
    <row r="849" spans="1:1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4"/>
      <c r="K849" s="48"/>
    </row>
    <row r="850" spans="1:1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4"/>
      <c r="K850" s="48"/>
    </row>
    <row r="851" spans="1:1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4"/>
      <c r="K851" s="48"/>
    </row>
    <row r="852" spans="1:1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4"/>
      <c r="K852" s="48"/>
    </row>
    <row r="853" spans="1:1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4"/>
      <c r="K853" s="48"/>
    </row>
    <row r="854" spans="1:1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4"/>
      <c r="K854" s="48"/>
    </row>
    <row r="855" spans="1:1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4"/>
      <c r="K855" s="48"/>
    </row>
    <row r="856" spans="1:1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4"/>
      <c r="K856" s="48"/>
    </row>
    <row r="857" spans="1:1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4"/>
      <c r="K857" s="48"/>
    </row>
    <row r="858" spans="1:1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4"/>
      <c r="K858" s="48"/>
    </row>
    <row r="859" spans="1:1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4"/>
      <c r="K859" s="48"/>
    </row>
    <row r="860" spans="1:1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4"/>
      <c r="K860" s="48"/>
    </row>
    <row r="861" spans="1:1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4"/>
      <c r="K861" s="48"/>
    </row>
    <row r="862" spans="1:1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4"/>
      <c r="K862" s="48"/>
    </row>
    <row r="863" spans="1:1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4"/>
      <c r="K863" s="48"/>
    </row>
    <row r="864" spans="1:1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4"/>
      <c r="K864" s="48"/>
    </row>
    <row r="865" spans="1:1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4"/>
      <c r="K865" s="48"/>
    </row>
    <row r="866" spans="1:1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4"/>
      <c r="K866" s="48"/>
    </row>
    <row r="867" spans="1:1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4"/>
      <c r="K867" s="48"/>
    </row>
    <row r="868" spans="1:1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4"/>
      <c r="K868" s="48"/>
    </row>
    <row r="869" spans="1:1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4"/>
      <c r="K869" s="48"/>
    </row>
    <row r="870" spans="1:1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4"/>
      <c r="K870" s="48"/>
    </row>
    <row r="871" spans="1:1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4"/>
      <c r="K871" s="48"/>
    </row>
    <row r="872" spans="1:1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4"/>
      <c r="K872" s="48"/>
    </row>
    <row r="873" spans="1:1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4"/>
      <c r="K873" s="48"/>
    </row>
    <row r="874" spans="1:1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4"/>
      <c r="K874" s="48"/>
    </row>
    <row r="875" spans="1:1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4"/>
      <c r="K875" s="48"/>
    </row>
    <row r="876" spans="1:1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4"/>
      <c r="K876" s="48"/>
    </row>
    <row r="877" spans="1:1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4"/>
      <c r="K877" s="48"/>
    </row>
    <row r="878" spans="1:1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4"/>
      <c r="K878" s="48"/>
    </row>
    <row r="879" spans="1:1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4"/>
      <c r="K879" s="48"/>
    </row>
    <row r="880" spans="1:1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4"/>
      <c r="K880" s="48"/>
    </row>
    <row r="881" spans="1:1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4"/>
      <c r="K881" s="48"/>
    </row>
    <row r="882" spans="1:1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4"/>
      <c r="K882" s="48"/>
    </row>
    <row r="883" spans="1:1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4"/>
      <c r="K883" s="48"/>
    </row>
    <row r="884" spans="1:1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4"/>
      <c r="K884" s="48"/>
    </row>
    <row r="885" spans="1:1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4"/>
      <c r="K885" s="48"/>
    </row>
    <row r="886" spans="1:1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4"/>
      <c r="K886" s="48"/>
    </row>
    <row r="887" spans="1:1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4"/>
      <c r="K887" s="48"/>
    </row>
    <row r="888" spans="1:1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4"/>
      <c r="K888" s="48"/>
    </row>
    <row r="889" spans="1:1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4"/>
      <c r="K889" s="48"/>
    </row>
    <row r="890" spans="1:1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4"/>
      <c r="K890" s="48"/>
    </row>
    <row r="891" spans="1:1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4"/>
      <c r="K891" s="48"/>
    </row>
    <row r="892" spans="1:1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4"/>
      <c r="K892" s="48"/>
    </row>
    <row r="893" spans="1:1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4"/>
      <c r="K893" s="48"/>
    </row>
    <row r="894" spans="1:1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4"/>
      <c r="K894" s="48"/>
    </row>
    <row r="895" spans="1:1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4"/>
      <c r="K895" s="48"/>
    </row>
    <row r="896" spans="1:1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4"/>
      <c r="K896" s="48"/>
    </row>
    <row r="897" spans="1:1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4"/>
      <c r="K897" s="48"/>
    </row>
    <row r="898" spans="1:1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4"/>
      <c r="K898" s="48"/>
    </row>
    <row r="899" spans="1:1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4"/>
      <c r="K899" s="48"/>
    </row>
    <row r="900" spans="1:1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4"/>
      <c r="K900" s="48"/>
    </row>
    <row r="901" spans="1:1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4"/>
      <c r="K901" s="48"/>
    </row>
    <row r="902" spans="1:1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4"/>
      <c r="K902" s="48"/>
    </row>
    <row r="903" spans="1:1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4"/>
      <c r="K903" s="48"/>
    </row>
    <row r="904" spans="1:1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4"/>
      <c r="K904" s="48"/>
    </row>
    <row r="905" spans="1:1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4"/>
      <c r="K905" s="48"/>
    </row>
    <row r="906" spans="1:1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4"/>
      <c r="K906" s="48"/>
    </row>
    <row r="907" spans="1:1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4"/>
      <c r="K907" s="48"/>
    </row>
    <row r="908" spans="1:1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4"/>
      <c r="K908" s="48"/>
    </row>
    <row r="909" spans="1:1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4"/>
      <c r="K909" s="48"/>
    </row>
    <row r="910" spans="1:1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4"/>
      <c r="K910" s="48"/>
    </row>
    <row r="911" spans="1:1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4"/>
      <c r="K911" s="48"/>
    </row>
    <row r="912" spans="1:1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4"/>
      <c r="K912" s="48"/>
    </row>
    <row r="913" spans="1:1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4"/>
      <c r="K913" s="48"/>
    </row>
    <row r="914" spans="1:1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4"/>
      <c r="K914" s="48"/>
    </row>
    <row r="915" spans="1:1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4"/>
      <c r="K915" s="48"/>
    </row>
    <row r="916" spans="1:1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4"/>
      <c r="K916" s="48"/>
    </row>
    <row r="917" spans="1:1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4"/>
      <c r="K917" s="48"/>
    </row>
    <row r="918" spans="1:1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4"/>
      <c r="K918" s="48"/>
    </row>
    <row r="919" spans="1:1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4"/>
      <c r="K919" s="48"/>
    </row>
    <row r="920" spans="1:1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4"/>
      <c r="K920" s="48"/>
    </row>
    <row r="921" spans="1:1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4"/>
      <c r="K921" s="48"/>
    </row>
    <row r="922" spans="1:1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4"/>
      <c r="K922" s="48"/>
    </row>
    <row r="923" spans="1:1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4"/>
      <c r="K923" s="48"/>
    </row>
    <row r="924" spans="1:1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4"/>
      <c r="K924" s="48"/>
    </row>
    <row r="925" spans="1:1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4"/>
      <c r="K925" s="48"/>
    </row>
    <row r="926" spans="1:1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4"/>
      <c r="K926" s="48"/>
    </row>
    <row r="927" spans="1:1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4"/>
      <c r="K927" s="48"/>
    </row>
    <row r="928" spans="1:1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4"/>
      <c r="K928" s="48"/>
    </row>
    <row r="929" spans="1:1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4"/>
      <c r="K929" s="48"/>
    </row>
    <row r="930" spans="1:1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4"/>
      <c r="K930" s="48"/>
    </row>
    <row r="931" spans="1:1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4"/>
      <c r="K931" s="48"/>
    </row>
    <row r="932" spans="1:1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4"/>
      <c r="K932" s="48"/>
    </row>
    <row r="933" spans="1:1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4"/>
      <c r="K933" s="48"/>
    </row>
    <row r="934" spans="1:1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4"/>
      <c r="K934" s="48"/>
    </row>
    <row r="935" spans="1:1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4"/>
      <c r="K935" s="48"/>
    </row>
    <row r="936" spans="1:1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4"/>
      <c r="K936" s="48"/>
    </row>
    <row r="937" spans="1:1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4"/>
      <c r="K937" s="48"/>
    </row>
    <row r="938" spans="1:1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4"/>
      <c r="K938" s="48"/>
    </row>
    <row r="939" spans="1:1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4"/>
      <c r="K939" s="48"/>
    </row>
    <row r="940" spans="1:1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4"/>
      <c r="K940" s="48"/>
    </row>
    <row r="941" spans="1:1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4"/>
      <c r="K941" s="48"/>
    </row>
    <row r="942" spans="1:1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4"/>
      <c r="K942" s="48"/>
    </row>
    <row r="943" spans="1:1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4"/>
      <c r="K943" s="48"/>
    </row>
    <row r="944" spans="1:1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4"/>
      <c r="K944" s="48"/>
    </row>
    <row r="945" spans="1:1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4"/>
      <c r="K945" s="48"/>
    </row>
    <row r="946" spans="1:1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4"/>
      <c r="K946" s="48"/>
    </row>
    <row r="947" spans="1:1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4"/>
      <c r="K947" s="48"/>
    </row>
    <row r="948" spans="1:1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4"/>
      <c r="K948" s="48"/>
    </row>
    <row r="949" spans="1:1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4"/>
      <c r="K949" s="48"/>
    </row>
    <row r="950" spans="1:1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4"/>
      <c r="K950" s="48"/>
    </row>
    <row r="951" spans="1:1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4"/>
      <c r="K951" s="48"/>
    </row>
    <row r="952" spans="1:1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4"/>
      <c r="K952" s="48"/>
    </row>
    <row r="953" spans="1:1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4"/>
      <c r="K953" s="48"/>
    </row>
    <row r="954" spans="1:1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4"/>
      <c r="K954" s="48"/>
    </row>
    <row r="955" spans="1:1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4"/>
      <c r="K955" s="48"/>
    </row>
    <row r="956" spans="1:1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4"/>
      <c r="K956" s="48"/>
    </row>
    <row r="957" spans="1:1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4"/>
      <c r="K957" s="48"/>
    </row>
    <row r="958" spans="1:1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4"/>
      <c r="K958" s="48"/>
    </row>
    <row r="959" spans="1:1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4"/>
      <c r="K959" s="48"/>
    </row>
    <row r="960" spans="1:1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4"/>
      <c r="K960" s="48"/>
    </row>
    <row r="961" spans="1:1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4"/>
      <c r="K961" s="48"/>
    </row>
    <row r="962" spans="1:1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4"/>
      <c r="K962" s="48"/>
    </row>
    <row r="963" spans="1:1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4"/>
      <c r="K963" s="48"/>
    </row>
    <row r="964" spans="1:1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4"/>
      <c r="K964" s="48"/>
    </row>
    <row r="965" spans="1:1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4"/>
      <c r="K965" s="48"/>
    </row>
    <row r="966" spans="1:1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4"/>
      <c r="K966" s="48"/>
    </row>
    <row r="967" spans="1:1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4"/>
      <c r="K967" s="48"/>
    </row>
    <row r="968" spans="1:1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4"/>
      <c r="K968" s="48"/>
    </row>
    <row r="969" spans="1:1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4"/>
      <c r="K969" s="48"/>
    </row>
    <row r="970" spans="1:1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4"/>
      <c r="K970" s="48"/>
    </row>
    <row r="971" spans="1:1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4"/>
      <c r="K971" s="48"/>
    </row>
    <row r="972" spans="1:1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4"/>
      <c r="K972" s="48"/>
    </row>
    <row r="973" spans="1:1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4"/>
      <c r="K973" s="48"/>
    </row>
    <row r="974" spans="1:1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4"/>
      <c r="K974" s="48"/>
    </row>
    <row r="975" spans="1:1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4"/>
      <c r="K975" s="48"/>
    </row>
    <row r="976" spans="1:1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4"/>
      <c r="K976" s="48"/>
    </row>
    <row r="977" spans="1:1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4"/>
      <c r="K977" s="48"/>
    </row>
    <row r="978" spans="1:1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4"/>
      <c r="K978" s="48"/>
    </row>
    <row r="979" spans="1:1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4"/>
      <c r="K979" s="48"/>
    </row>
    <row r="980" spans="1:1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4"/>
      <c r="K980" s="48"/>
    </row>
    <row r="981" spans="1:1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4"/>
      <c r="K981" s="48"/>
    </row>
    <row r="982" spans="1:1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4"/>
      <c r="K982" s="48"/>
    </row>
    <row r="983" spans="1:1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4"/>
      <c r="K983" s="48"/>
    </row>
    <row r="984" spans="1:1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4"/>
      <c r="K984" s="48"/>
    </row>
    <row r="985" spans="1:1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4"/>
      <c r="K985" s="48"/>
    </row>
    <row r="986" spans="1:1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4"/>
      <c r="K986" s="48"/>
    </row>
    <row r="987" spans="1:1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4"/>
      <c r="K987" s="48"/>
    </row>
    <row r="988" spans="1:1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4"/>
      <c r="K988" s="48"/>
    </row>
    <row r="989" spans="1:1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4"/>
      <c r="K989" s="48"/>
    </row>
    <row r="990" spans="1:1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4"/>
      <c r="K990" s="48"/>
    </row>
    <row r="991" spans="1:1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4"/>
      <c r="K991" s="48"/>
    </row>
    <row r="992" spans="1:1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4"/>
      <c r="K992" s="48"/>
    </row>
    <row r="993" spans="1:1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4"/>
      <c r="K993" s="48"/>
    </row>
    <row r="994" spans="1:1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4"/>
      <c r="K994" s="48"/>
    </row>
    <row r="995" spans="1:1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4"/>
      <c r="K995" s="48"/>
    </row>
    <row r="996" spans="1:1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4"/>
      <c r="K996" s="48"/>
    </row>
    <row r="997" spans="1:1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4"/>
      <c r="K997" s="48"/>
    </row>
    <row r="998" spans="1:1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4"/>
      <c r="K998" s="48"/>
    </row>
    <row r="999" spans="1:11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4"/>
      <c r="K999" s="48"/>
    </row>
    <row r="1000" spans="1:11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4"/>
      <c r="K1000" s="48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EUR (S)</vt:lpstr>
      <vt:lpstr>Blik</vt:lpstr>
      <vt:lpstr>Settl</vt:lpstr>
      <vt:lpstr>RR</vt:lpstr>
      <vt:lpstr>конвертация</vt:lpstr>
      <vt:lpstr>Day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 Kotul</cp:lastModifiedBy>
  <dcterms:modified xsi:type="dcterms:W3CDTF">2025-12-26T11:28:33Z</dcterms:modified>
</cp:coreProperties>
</file>